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kman\Downloads\"/>
    </mc:Choice>
  </mc:AlternateContent>
  <xr:revisionPtr revIDLastSave="0" documentId="13_ncr:1_{4AF95E5A-6789-4118-9D94-32E2FD6260A3}" xr6:coauthVersionLast="47" xr6:coauthVersionMax="47" xr10:uidLastSave="{00000000-0000-0000-0000-000000000000}"/>
  <bookViews>
    <workbookView xWindow="-120" yWindow="-120" windowWidth="20730" windowHeight="11040" xr2:uid="{10C32D60-1ED8-4688-AF51-1D4A07CAE7F5}"/>
  </bookViews>
  <sheets>
    <sheet name="Sheet 1" sheetId="1" r:id="rId1"/>
    <sheet name="Sheet 2" sheetId="2" r:id="rId2"/>
  </sheets>
  <definedNames>
    <definedName name="_xlnm._FilterDatabase" localSheetId="1" hidden="1">'Sheet 2'!$A$1:$I$4315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9" i="1" l="1"/>
  <c r="Q49" i="1" l="1"/>
  <c r="Q48" i="1"/>
  <c r="Q46" i="1"/>
  <c r="Q45" i="1"/>
  <c r="Q47" i="1"/>
  <c r="Q42" i="1" l="1"/>
  <c r="Q39" i="1" l="1"/>
  <c r="Q38" i="1"/>
  <c r="Q40" i="1"/>
  <c r="Q43" i="1"/>
  <c r="Q35" i="1" l="1"/>
  <c r="Q34" i="1"/>
  <c r="Q44" i="1"/>
  <c r="Q41" i="1"/>
  <c r="Q36" i="1"/>
  <c r="Q32" i="1" l="1"/>
  <c r="Q31" i="1"/>
  <c r="Q30" i="1"/>
  <c r="Q37" i="1"/>
  <c r="Q33" i="1"/>
  <c r="Q28" i="1" l="1"/>
  <c r="Q27" i="1"/>
  <c r="Q26" i="1"/>
  <c r="Q29" i="1"/>
  <c r="Q19" i="1" l="1"/>
  <c r="Q18" i="1"/>
  <c r="Q20" i="1"/>
  <c r="Q16" i="1" l="1"/>
  <c r="Q21" i="1"/>
  <c r="Q17" i="1"/>
  <c r="Q13" i="1" l="1"/>
  <c r="Q12" i="1"/>
  <c r="Q22" i="1"/>
  <c r="Q14" i="1"/>
  <c r="Q10" i="1" l="1"/>
  <c r="Q9" i="1"/>
  <c r="Q15" i="1"/>
  <c r="Q23" i="1"/>
  <c r="Q11" i="1"/>
  <c r="Q7" i="1" l="1"/>
  <c r="Q24" i="1"/>
  <c r="Q8" i="1"/>
  <c r="O2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Q2" i="1"/>
  <c r="P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K2" i="1"/>
  <c r="J2" i="1"/>
  <c r="I2" i="1"/>
  <c r="Q25" i="1"/>
  <c r="L136" i="1"/>
  <c r="L153" i="1"/>
  <c r="L88" i="1"/>
  <c r="L65" i="1"/>
  <c r="L156" i="1"/>
  <c r="L26" i="1"/>
  <c r="L131" i="1"/>
  <c r="L69" i="1"/>
  <c r="L59" i="1"/>
  <c r="L32" i="1"/>
  <c r="L82" i="1"/>
  <c r="L154" i="1"/>
  <c r="L119" i="1"/>
  <c r="L122" i="1"/>
  <c r="L93" i="1"/>
  <c r="L96" i="1"/>
  <c r="L140" i="1"/>
  <c r="L114" i="1"/>
  <c r="L118" i="1"/>
  <c r="L13" i="1"/>
  <c r="L108" i="1"/>
  <c r="L127" i="1"/>
  <c r="L91" i="1"/>
  <c r="L111" i="1"/>
  <c r="L37" i="1"/>
  <c r="L42" i="1"/>
  <c r="L57" i="1"/>
  <c r="L31" i="1"/>
  <c r="L137" i="1"/>
  <c r="L84" i="1"/>
  <c r="L144" i="1"/>
  <c r="L155" i="1"/>
  <c r="L83" i="1"/>
  <c r="L56" i="1"/>
  <c r="L71" i="1"/>
  <c r="L3" i="1"/>
  <c r="L29" i="1"/>
  <c r="L133" i="1"/>
  <c r="L76" i="1"/>
  <c r="L124" i="1"/>
  <c r="L158" i="1"/>
  <c r="L55" i="1"/>
  <c r="L138" i="1"/>
  <c r="L151" i="1"/>
  <c r="L58" i="1"/>
  <c r="L99" i="1"/>
  <c r="L130" i="1"/>
  <c r="L129" i="1"/>
  <c r="L35" i="1"/>
  <c r="L97" i="1"/>
  <c r="L43" i="1"/>
  <c r="L23" i="1"/>
  <c r="L67" i="1"/>
  <c r="L92" i="1"/>
  <c r="L53" i="1"/>
  <c r="L27" i="1"/>
  <c r="L87" i="1"/>
  <c r="L94" i="1"/>
  <c r="L134" i="1"/>
  <c r="L52" i="1"/>
  <c r="L80" i="1"/>
  <c r="L22" i="1"/>
  <c r="L73" i="1"/>
  <c r="L44" i="1"/>
  <c r="L48" i="1"/>
  <c r="L9" i="1"/>
  <c r="L100" i="1"/>
  <c r="L123" i="1"/>
  <c r="L38" i="1"/>
  <c r="L152" i="1"/>
  <c r="L128" i="1"/>
  <c r="L72" i="1"/>
  <c r="L60" i="1"/>
  <c r="L79" i="1"/>
  <c r="L75" i="1"/>
  <c r="L64" i="1"/>
  <c r="L106" i="1"/>
  <c r="L147" i="1"/>
  <c r="L4" i="1"/>
  <c r="L115" i="1"/>
  <c r="L89" i="1"/>
  <c r="L149" i="1"/>
  <c r="L14" i="1"/>
  <c r="L6" i="1"/>
  <c r="L24" i="1"/>
  <c r="L146" i="1"/>
  <c r="L70" i="1"/>
  <c r="L139" i="1"/>
  <c r="L86" i="1"/>
  <c r="L34" i="1"/>
  <c r="L132" i="1"/>
  <c r="L116" i="1"/>
  <c r="L66" i="1"/>
  <c r="L62" i="1"/>
  <c r="L54" i="1"/>
  <c r="L143" i="1"/>
  <c r="L77" i="1"/>
  <c r="L8" i="1"/>
  <c r="L51" i="1"/>
  <c r="L47" i="1"/>
  <c r="L21" i="1"/>
  <c r="L10" i="1"/>
  <c r="L120" i="1"/>
  <c r="L7" i="1"/>
  <c r="L33" i="1"/>
  <c r="L18" i="1"/>
  <c r="L46" i="1"/>
  <c r="L50" i="1"/>
  <c r="L145" i="1"/>
  <c r="L102" i="1"/>
  <c r="L125" i="1"/>
  <c r="L141" i="1"/>
  <c r="L78" i="1"/>
  <c r="L39" i="1"/>
  <c r="L20" i="1"/>
  <c r="L19" i="1"/>
  <c r="L45" i="1"/>
  <c r="L49" i="1"/>
  <c r="L150" i="1"/>
  <c r="L5" i="1"/>
  <c r="L117" i="1"/>
  <c r="L121" i="1"/>
  <c r="Q3" i="1"/>
  <c r="L109" i="1"/>
  <c r="L36" i="1"/>
  <c r="L126" i="1"/>
  <c r="L113" i="1"/>
  <c r="L101" i="1"/>
  <c r="L68" i="1"/>
  <c r="L28" i="1"/>
  <c r="R2" i="1"/>
  <c r="L16" i="1"/>
  <c r="L135" i="1"/>
  <c r="L25" i="1"/>
  <c r="L95" i="1"/>
  <c r="L12" i="1"/>
  <c r="L157" i="1"/>
  <c r="L98" i="1"/>
  <c r="L81" i="1"/>
  <c r="L41" i="1"/>
  <c r="L103" i="1"/>
  <c r="L15" i="1"/>
  <c r="L85" i="1"/>
  <c r="L107" i="1"/>
  <c r="L105" i="1"/>
  <c r="L90" i="1"/>
  <c r="L63" i="1"/>
  <c r="L11" i="1"/>
  <c r="L40" i="1"/>
  <c r="L61" i="1"/>
  <c r="L148" i="1"/>
  <c r="L30" i="1"/>
  <c r="L2" i="1"/>
  <c r="L74" i="1"/>
  <c r="L112" i="1"/>
  <c r="L110" i="1"/>
  <c r="L104" i="1"/>
  <c r="L17" i="1"/>
  <c r="L142" i="1"/>
  <c r="L159" i="1" l="1"/>
  <c r="O50" i="1"/>
  <c r="U2" i="1"/>
  <c r="T2" i="1"/>
  <c r="S2" i="1"/>
  <c r="Q4" i="1"/>
  <c r="R3" i="1"/>
  <c r="S3" i="1" l="1"/>
  <c r="T3" i="1"/>
  <c r="U3" i="1"/>
  <c r="Q5" i="1"/>
  <c r="R4" i="1"/>
  <c r="S4" i="1" l="1"/>
  <c r="T4" i="1"/>
  <c r="U4" i="1"/>
  <c r="Q6" i="1"/>
  <c r="R5" i="1"/>
  <c r="S5" i="1" l="1"/>
  <c r="T5" i="1"/>
  <c r="U5" i="1"/>
  <c r="R6" i="1"/>
  <c r="R7" i="1"/>
  <c r="S7" i="1" l="1"/>
  <c r="T7" i="1"/>
  <c r="U7" i="1"/>
  <c r="S6" i="1"/>
  <c r="T6" i="1"/>
  <c r="U6" i="1"/>
  <c r="R9" i="1"/>
  <c r="R8" i="1"/>
  <c r="S8" i="1" l="1"/>
  <c r="T8" i="1"/>
  <c r="U8" i="1"/>
  <c r="U9" i="1"/>
  <c r="S9" i="1"/>
  <c r="T9" i="1"/>
  <c r="R10" i="1"/>
  <c r="S10" i="1" l="1"/>
  <c r="T10" i="1"/>
  <c r="U10" i="1"/>
  <c r="R12" i="1"/>
  <c r="R11" i="1"/>
  <c r="T11" i="1" l="1"/>
  <c r="U11" i="1"/>
  <c r="S11" i="1"/>
  <c r="U12" i="1"/>
  <c r="S12" i="1"/>
  <c r="T12" i="1"/>
  <c r="R13" i="1"/>
  <c r="T13" i="1" l="1"/>
  <c r="U13" i="1"/>
  <c r="S13" i="1"/>
  <c r="R14" i="1"/>
  <c r="S14" i="1" l="1"/>
  <c r="T14" i="1"/>
  <c r="U14" i="1"/>
  <c r="R15" i="1"/>
  <c r="R16" i="1"/>
  <c r="S16" i="1" l="1"/>
  <c r="T16" i="1"/>
  <c r="U16" i="1"/>
  <c r="S15" i="1"/>
  <c r="T15" i="1"/>
  <c r="U15" i="1"/>
  <c r="R17" i="1"/>
  <c r="R18" i="1"/>
  <c r="S18" i="1" l="1"/>
  <c r="T18" i="1"/>
  <c r="U18" i="1"/>
  <c r="S17" i="1"/>
  <c r="T17" i="1"/>
  <c r="U17" i="1"/>
  <c r="R19" i="1"/>
  <c r="R20" i="1"/>
  <c r="S20" i="1" l="1"/>
  <c r="U20" i="1"/>
  <c r="T20" i="1"/>
  <c r="T19" i="1"/>
  <c r="S19" i="1"/>
  <c r="U19" i="1"/>
  <c r="R21" i="1"/>
  <c r="S21" i="1" l="1"/>
  <c r="T21" i="1"/>
  <c r="U21" i="1"/>
  <c r="R22" i="1"/>
  <c r="S22" i="1" l="1"/>
  <c r="T22" i="1"/>
  <c r="U22" i="1"/>
  <c r="R23" i="1"/>
  <c r="S23" i="1" l="1"/>
  <c r="T23" i="1"/>
  <c r="U23" i="1"/>
  <c r="R24" i="1"/>
  <c r="S24" i="1" l="1"/>
  <c r="T24" i="1"/>
  <c r="U24" i="1"/>
  <c r="R25" i="1"/>
  <c r="S25" i="1" l="1"/>
  <c r="T25" i="1"/>
  <c r="U25" i="1"/>
  <c r="R26" i="1"/>
  <c r="S26" i="1" l="1"/>
  <c r="T26" i="1"/>
  <c r="U26" i="1"/>
  <c r="R27" i="1"/>
  <c r="S27" i="1" l="1"/>
  <c r="T27" i="1"/>
  <c r="U27" i="1"/>
  <c r="R28" i="1"/>
  <c r="S28" i="1" l="1"/>
  <c r="U28" i="1"/>
  <c r="T28" i="1"/>
  <c r="R29" i="1"/>
  <c r="S29" i="1" l="1"/>
  <c r="T29" i="1"/>
  <c r="U29" i="1"/>
  <c r="R30" i="1"/>
  <c r="S30" i="1" l="1"/>
  <c r="T30" i="1"/>
  <c r="U30" i="1"/>
  <c r="R31" i="1"/>
  <c r="S31" i="1" l="1"/>
  <c r="T31" i="1"/>
  <c r="U31" i="1"/>
  <c r="R32" i="1"/>
  <c r="S32" i="1" l="1"/>
  <c r="U32" i="1"/>
  <c r="T32" i="1"/>
  <c r="R33" i="1"/>
  <c r="S33" i="1" l="1"/>
  <c r="U33" i="1"/>
  <c r="T33" i="1"/>
  <c r="R34" i="1"/>
  <c r="S34" i="1" l="1"/>
  <c r="T34" i="1"/>
  <c r="U34" i="1"/>
  <c r="R35" i="1"/>
  <c r="S35" i="1" l="1"/>
  <c r="U35" i="1"/>
  <c r="T35" i="1"/>
  <c r="R36" i="1"/>
  <c r="S36" i="1" l="1"/>
  <c r="T36" i="1"/>
  <c r="U36" i="1"/>
  <c r="R37" i="1"/>
  <c r="U37" i="1" l="1"/>
  <c r="T37" i="1"/>
  <c r="S37" i="1"/>
  <c r="R38" i="1"/>
  <c r="S38" i="1" l="1"/>
  <c r="U38" i="1"/>
  <c r="T38" i="1"/>
  <c r="R39" i="1"/>
  <c r="S39" i="1" l="1"/>
  <c r="T39" i="1"/>
  <c r="U39" i="1"/>
  <c r="R40" i="1"/>
  <c r="S40" i="1" l="1"/>
  <c r="U40" i="1"/>
  <c r="T40" i="1"/>
  <c r="R41" i="1"/>
  <c r="U41" i="1" l="1"/>
  <c r="S41" i="1"/>
  <c r="T41" i="1"/>
  <c r="R42" i="1"/>
  <c r="S42" i="1" l="1"/>
  <c r="T42" i="1"/>
  <c r="U42" i="1"/>
  <c r="R43" i="1"/>
  <c r="S43" i="1" l="1"/>
  <c r="U43" i="1"/>
  <c r="T43" i="1"/>
  <c r="R44" i="1"/>
  <c r="S44" i="1" l="1"/>
  <c r="T44" i="1"/>
  <c r="U44" i="1"/>
  <c r="R45" i="1"/>
  <c r="S45" i="1" l="1"/>
  <c r="T45" i="1"/>
  <c r="U45" i="1"/>
  <c r="R46" i="1"/>
  <c r="S46" i="1" l="1"/>
  <c r="U46" i="1"/>
  <c r="T46" i="1"/>
  <c r="R47" i="1"/>
  <c r="U47" i="1" l="1"/>
  <c r="S47" i="1"/>
  <c r="T47" i="1"/>
  <c r="R48" i="1"/>
  <c r="R49" i="1"/>
  <c r="S49" i="1" l="1"/>
  <c r="U49" i="1"/>
  <c r="T49" i="1"/>
  <c r="S48" i="1"/>
  <c r="U48" i="1"/>
  <c r="T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Lukman</author>
  </authors>
  <commentList>
    <comment ref="O1" authorId="0" shapeId="0" xr:uid="{172C465D-15CB-4ED2-A886-0E04BEE463E0}">
      <text>
        <r>
          <rPr>
            <b/>
            <sz val="9"/>
            <color indexed="81"/>
            <rFont val="Tahoma"/>
            <family val="2"/>
          </rPr>
          <t>Lukman:</t>
        </r>
        <r>
          <rPr>
            <sz val="9"/>
            <color indexed="81"/>
            <rFont val="Tahoma"/>
            <family val="2"/>
          </rPr>
          <t xml:space="preserve">
logikanya dengan melakukan pengambilan angka dari sebelah kanan. Cuman karena PK nya belum jelas, maka menggunakan mid saja dengan PK nya ialah karakter "-". Karena disc memiliki 2 tipe, maka saya melakukan identifikasi dan akan melakukan proses pengecekkan, apakah karakter "-" nya 1 atau 2</t>
        </r>
      </text>
    </comment>
    <comment ref="Q1" authorId="0" shapeId="0" xr:uid="{618B3F25-7B0C-4B1C-8DA0-0F634C4BB613}">
      <text>
        <r>
          <rPr>
            <b/>
            <sz val="9"/>
            <color indexed="81"/>
            <rFont val="Tahoma"/>
            <family val="2"/>
          </rPr>
          <t>Lukman:</t>
        </r>
        <r>
          <rPr>
            <sz val="9"/>
            <color indexed="81"/>
            <rFont val="Tahoma"/>
            <family val="2"/>
          </rPr>
          <t xml:space="preserve">
Di kolom ini ada 2 jenis formula:
1. Formula paling atas cukup cek secara keseluruhan
2. Sedangkan untuk cell bawah selanjutnya, perlu dilakukan pengecekkan baris di atasnya dan cek per brand nya.</t>
        </r>
      </text>
    </comment>
    <comment ref="R1" authorId="0" shapeId="0" xr:uid="{014F44CD-4CDE-4372-8333-DBBD29D6A46A}">
      <text>
        <r>
          <rPr>
            <b/>
            <sz val="9"/>
            <color indexed="81"/>
            <rFont val="Tahoma"/>
            <family val="2"/>
          </rPr>
          <t>Lukman:</t>
        </r>
        <r>
          <rPr>
            <sz val="9"/>
            <color indexed="81"/>
            <rFont val="Tahoma"/>
            <family val="2"/>
          </rPr>
          <t xml:space="preserve">
Disc paling banyak hanya 2 tingkat, sehingga perlu dilakukan pengecekkan di 1 karakter, apakah SKU atau bukan (dengan PK 1, 2 dan 9)
</t>
        </r>
      </text>
    </comment>
  </commentList>
</comments>
</file>

<file path=xl/sharedStrings.xml><?xml version="1.0" encoding="utf-8"?>
<sst xmlns="http://schemas.openxmlformats.org/spreadsheetml/2006/main" count="10236" uniqueCount="416">
  <si>
    <r>
      <t>Receipt Report</t>
    </r>
    <r>
      <rPr>
        <sz val="8"/>
        <color rgb="FF000033"/>
        <rFont val="Verdana"/>
        <family val="2"/>
      </rPr>
      <t> </t>
    </r>
  </si>
  <si>
    <t>362-10 MDS TANJUNG PINANG</t>
  </si>
  <si>
    <t>Register 80026 between 1-JAN-2017 and 1-JAN-2017</t>
  </si>
  <si>
    <t xml:space="preserve">   PT. Matahari Department Store Tbk.</t>
  </si>
  <si>
    <t xml:space="preserve">   NPWP / NPPKP: 01.317.956.9-054.000</t>
  </si>
  <si>
    <t xml:space="preserve">         Tgl. PKP: 14 Juli 1999</t>
  </si>
  <si>
    <t>---------------------------------------</t>
  </si>
  <si>
    <t xml:space="preserve">              ver.1.7.1602</t>
  </si>
  <si>
    <t>BUKA         0362 80026  2066  01/01/17</t>
  </si>
  <si>
    <t>REGISTER               092739  10:06:29</t>
  </si>
  <si>
    <t>PENJUALAN    0362 80026  2067  01/01/17</t>
  </si>
  <si>
    <t xml:space="preserve">                       092739  10:50:00</t>
  </si>
  <si>
    <t>94757536 HIPO-FANT APP.         100,000</t>
  </si>
  <si>
    <t xml:space="preserve">                 2  @   100,000</t>
  </si>
  <si>
    <t xml:space="preserve">  disc subtl  (-)(  2) -100,000</t>
  </si>
  <si>
    <t>93027031 SB T-SHIRT 40                0</t>
  </si>
  <si>
    <t xml:space="preserve">      3 ITEMS        TOTAL :    100,000</t>
  </si>
  <si>
    <t xml:space="preserve">                       TUNAI    100,000</t>
  </si>
  <si>
    <t>Anda Hemat</t>
  </si>
  <si>
    <t xml:space="preserve">  Barang kena pajak, harga termasuk PPN</t>
  </si>
  <si>
    <t>Keluhan Atas Pelayanan &amp; Saran, Hubungi</t>
  </si>
  <si>
    <t>Call Center HALO MATAHARI : 1500 838</t>
  </si>
  <si>
    <t>Jam Layanan: 08.00 - 22.00 WIB</t>
  </si>
  <si>
    <t>e-mail: halomatahari@matahari.co.id</t>
  </si>
  <si>
    <t>Fax   : 021 - 547 5718</t>
  </si>
  <si>
    <t xml:space="preserve">       PROMO KARTU KREDIT BUKOPIN</t>
  </si>
  <si>
    <t xml:space="preserve"> PERIODE NOVEMBER 2016 s/d JANUARI 2017</t>
  </si>
  <si>
    <t xml:space="preserve">              S &amp; K Berlaku</t>
  </si>
  <si>
    <t xml:space="preserve">              TERIMA KASIH</t>
  </si>
  <si>
    <t xml:space="preserve">          ATAS KUNJUNGAN ANDA</t>
  </si>
  <si>
    <t xml:space="preserve">  KUPON DISKON 25 %</t>
  </si>
  <si>
    <t>PROMO MAYBELINE</t>
  </si>
  <si>
    <t>- BERLAKU HANYA PADA TANGGAL STRUK INI</t>
  </si>
  <si>
    <t>- BERLAKU PEMBELIAN MAYBELLINE</t>
  </si>
  <si>
    <t xml:space="preserve">  MINIMUM Rp. 200.000,-</t>
  </si>
  <si>
    <t>- 1 STRUK HANYA DAPAT</t>
  </si>
  <si>
    <t xml:space="preserve">  MENGGUNAKAN 1 KUPON DISKON</t>
  </si>
  <si>
    <t>- TIDAK DAPAT DIUANGKAN</t>
  </si>
  <si>
    <t>- SYARAT KETENTUAN BERLAKU</t>
  </si>
  <si>
    <t>- KETERANGAN SELENGKAPNYA LIHAT DITOKO</t>
  </si>
  <si>
    <t xml:space="preserve">    GIFT VOUCHER</t>
  </si>
  <si>
    <t>NO. 8877665</t>
  </si>
  <si>
    <t>Rp.     25,000,-</t>
  </si>
  <si>
    <t>- BERLAKU TANGGAL SAMA DENGAN</t>
  </si>
  <si>
    <t xml:space="preserve">  TANGGAL STRUK INI</t>
  </si>
  <si>
    <t>- BERLAKU HANYA UNTUK PEMBELIAN BUKU</t>
  </si>
  <si>
    <t xml:space="preserve">  MANUSIA IDE</t>
  </si>
  <si>
    <t>- BERLAKU DI SEMUA MATAHARI DEPT STORE</t>
  </si>
  <si>
    <t>PENJUALAN    0362 80026  2068  01/01/17</t>
  </si>
  <si>
    <t xml:space="preserve">                       092739  10:51:20</t>
  </si>
  <si>
    <t>94905125 FLADEO                 139,700</t>
  </si>
  <si>
    <t xml:space="preserve">      2 ITEMS        TOTAL :    139,700</t>
  </si>
  <si>
    <t xml:space="preserve">                       TUNAI    150,000</t>
  </si>
  <si>
    <t xml:space="preserve">                     KEMBALI    -10,300</t>
  </si>
  <si>
    <t>NO MCC : 322938103</t>
  </si>
  <si>
    <t>PENJUALAN    0362 80026  2069  01/01/17</t>
  </si>
  <si>
    <t xml:space="preserve">                       092739  11:57:17</t>
  </si>
  <si>
    <t>94899802 N &amp; M                   93,000</t>
  </si>
  <si>
    <t>18280943 CHIC GIRL               77,940</t>
  </si>
  <si>
    <t xml:space="preserve">                 1  @   259,800</t>
  </si>
  <si>
    <t xml:space="preserve">  disc item   70%(  1) -181,860</t>
  </si>
  <si>
    <t>93027004 SB 40 NATAL                  0</t>
  </si>
  <si>
    <t xml:space="preserve">      3 ITEMS        TOTAL :    170,940</t>
  </si>
  <si>
    <t xml:space="preserve">                       TUNAI    200,000</t>
  </si>
  <si>
    <t xml:space="preserve">                     KEMBALI    -29,060</t>
  </si>
  <si>
    <t>PENJUALAN    0362 80026  2070  01/01/17</t>
  </si>
  <si>
    <t xml:space="preserve">                       092739  12:04:26</t>
  </si>
  <si>
    <t>18141209 BATH TOWEL DOBBY PD     79,900</t>
  </si>
  <si>
    <t>18141067 BATH TOWEL DOBBY PD     79,900</t>
  </si>
  <si>
    <t>18141209 BATH TOWEL DOBBY PD          0</t>
  </si>
  <si>
    <t xml:space="preserve">                 1  @    79,900</t>
  </si>
  <si>
    <t xml:space="preserve">  disc item   (20%)(  1)  -79,900</t>
  </si>
  <si>
    <t xml:space="preserve">  disc item   (-)(  1)  -79,900</t>
  </si>
  <si>
    <t xml:space="preserve">      4 ITEMS        TOTAL :    159,800</t>
  </si>
  <si>
    <t xml:space="preserve">                     KEMBALI    -40,200</t>
  </si>
  <si>
    <t>PENJUALAN    0362 80026  2071  01/01/17</t>
  </si>
  <si>
    <t xml:space="preserve">                       092739  12:11:36</t>
  </si>
  <si>
    <t>93025702 SB 45.5 NATAL                0</t>
  </si>
  <si>
    <t xml:space="preserve">                       TUNAI    140,000</t>
  </si>
  <si>
    <t xml:space="preserve">                     KEMBALI       -300</t>
  </si>
  <si>
    <t>PENJUALAN    0362 80026  2072  01/01/17</t>
  </si>
  <si>
    <t xml:space="preserve">                       092739  12:12:43</t>
  </si>
  <si>
    <t>94706546 YONGKI KOMALADI         79,200</t>
  </si>
  <si>
    <t xml:space="preserve">      2 ITEMS        TOTAL :     79,200</t>
  </si>
  <si>
    <t xml:space="preserve">                     KEMBALI    -20,800</t>
  </si>
  <si>
    <t>PENJUALAN    0362 80026  2073  01/01/17</t>
  </si>
  <si>
    <t xml:space="preserve">                       092739  12:27:55</t>
  </si>
  <si>
    <t>94859828 VENEZIA                180,000</t>
  </si>
  <si>
    <t xml:space="preserve">                 1  @   225,000</t>
  </si>
  <si>
    <t xml:space="preserve">  disc item   20%(  1)  -45,000</t>
  </si>
  <si>
    <t>93025864 PB KECIL NATAL               0</t>
  </si>
  <si>
    <t xml:space="preserve">      2 ITEMS        TOTAL :    180,000</t>
  </si>
  <si>
    <t xml:space="preserve">                     KEMBALI    -20,000</t>
  </si>
  <si>
    <t>PENJUALAN    0362 80026  2074  01/01/17</t>
  </si>
  <si>
    <t xml:space="preserve">                       092739  12:31:56</t>
  </si>
  <si>
    <t>94757536 HIPO-FANT APP.          60,000</t>
  </si>
  <si>
    <t xml:space="preserve">      2 ITEMS        TOTAL :     60,000</t>
  </si>
  <si>
    <t>601900XXXXXXXXXX  Paspor BCA     60,000</t>
  </si>
  <si>
    <t>PENJUALAN    0362 80026  2075  01/01/17</t>
  </si>
  <si>
    <t xml:space="preserve">                       092739  12:42:16</t>
  </si>
  <si>
    <t xml:space="preserve">      2 ITEMS        TOTAL :    100,000</t>
  </si>
  <si>
    <t>PENJUALAN    0362 80026  2076  01/01/17</t>
  </si>
  <si>
    <t xml:space="preserve">                       092739  12:50:12</t>
  </si>
  <si>
    <t>93025784 SB SIZE 45.5                 0</t>
  </si>
  <si>
    <t>PENJUALAN    0362 80026  2077  01/01/17</t>
  </si>
  <si>
    <t xml:space="preserve">                       092739  12:51:39</t>
  </si>
  <si>
    <t>94825702 EMBA JEANS             180,000</t>
  </si>
  <si>
    <t>PENJUALAN    0362 80026  2078  01/01/17</t>
  </si>
  <si>
    <t xml:space="preserve">                       092739  13:01:23</t>
  </si>
  <si>
    <t>94904813 FLADEO                  99,000</t>
  </si>
  <si>
    <t xml:space="preserve">      2 ITEMS        TOTAL :     99,000</t>
  </si>
  <si>
    <t xml:space="preserve">                     KEMBALI     -1,000</t>
  </si>
  <si>
    <t>PENJUALAN    0362 80026  2079  01/01/17</t>
  </si>
  <si>
    <t xml:space="preserve">                       092739  13:04:04</t>
  </si>
  <si>
    <t>NO MCC : 509515815</t>
  </si>
  <si>
    <t>PENJUALAN    0362 80026  2080  01/01/17</t>
  </si>
  <si>
    <t xml:space="preserve">                       092739  13:07:05</t>
  </si>
  <si>
    <t>PENJUALAN    0362 80026  2081  01/01/17</t>
  </si>
  <si>
    <t xml:space="preserve">                       092739  13:15:13</t>
  </si>
  <si>
    <t>93025819 SB T-SHIRT 25                0</t>
  </si>
  <si>
    <t>413719XXXXXXXXXX        Visa    180,000</t>
  </si>
  <si>
    <t>SULIA ZULIANA</t>
  </si>
  <si>
    <t>PENJUALAN    0362 80026  2082  01/01/17</t>
  </si>
  <si>
    <t xml:space="preserve">                       092739  13:30:33</t>
  </si>
  <si>
    <t>94905125 FLADEO                 125,965</t>
  </si>
  <si>
    <t>93024801 DONASI                      35</t>
  </si>
  <si>
    <t xml:space="preserve">      3 ITEMS        TOTAL :    126,000</t>
  </si>
  <si>
    <t xml:space="preserve">                     KEMBALI    -24,000</t>
  </si>
  <si>
    <t>PENJUALAN    0362 80026  2083  01/01/17</t>
  </si>
  <si>
    <t xml:space="preserve">                       092739  13:34:41</t>
  </si>
  <si>
    <t>94757536 HIPO-FANT APP.         100,000S</t>
  </si>
  <si>
    <t xml:space="preserve">  disc item   (-)(  2) -100,000</t>
  </si>
  <si>
    <t>PENJUALAN    0362 80026  2084  01/01/17</t>
  </si>
  <si>
    <t xml:space="preserve">                       092739  13:38:08</t>
  </si>
  <si>
    <t>PENJUALAN    0362 80026  2085  01/01/17</t>
  </si>
  <si>
    <t xml:space="preserve">                       092739  13:39:47</t>
  </si>
  <si>
    <t>PENJUALAN    0362 80026  2086  01/01/17</t>
  </si>
  <si>
    <t xml:space="preserve">                       092739  14:00:34</t>
  </si>
  <si>
    <t>94851924 EMBA CLASSIC           180,000</t>
  </si>
  <si>
    <t>PENJUALAN    0362 80026  2087  01/01/17</t>
  </si>
  <si>
    <t xml:space="preserve">                       092739  14:09:46</t>
  </si>
  <si>
    <t>18141209 BATH TOWEL DOBBY PD     53,267S</t>
  </si>
  <si>
    <t xml:space="preserve">  disc subtl  (-)(  1)  -26,633</t>
  </si>
  <si>
    <t>18141067 BATH TOWEL DOBBY PD     53,267S</t>
  </si>
  <si>
    <t>18141049 BATH TOWEL DOBBY PD     53,267S</t>
  </si>
  <si>
    <t>93024801 DONASI                      99</t>
  </si>
  <si>
    <t xml:space="preserve">      5 ITEMS        TOTAL :    159,900</t>
  </si>
  <si>
    <t xml:space="preserve">                       TUNAI    160,000</t>
  </si>
  <si>
    <t xml:space="preserve">                     KEMBALI       -100</t>
  </si>
  <si>
    <t>PENJUALAN    0362 80026  2088  01/01/17</t>
  </si>
  <si>
    <t xml:space="preserve">                       092739  14:47:08</t>
  </si>
  <si>
    <t>94905125 FLADEO                 125,650</t>
  </si>
  <si>
    <t>93024801 DONASI                      50</t>
  </si>
  <si>
    <t xml:space="preserve">      3 ITEMS        TOTAL :    125,700</t>
  </si>
  <si>
    <t xml:space="preserve">                       TUNAI    125,700</t>
  </si>
  <si>
    <t>PENJUALAN    0362 80026  2089  01/01/17</t>
  </si>
  <si>
    <t xml:space="preserve">                       092739  15:05:00</t>
  </si>
  <si>
    <t>94859702 EPRISE                 139,930</t>
  </si>
  <si>
    <t xml:space="preserve">                 1  @   399,800</t>
  </si>
  <si>
    <t xml:space="preserve">  disc subtl  50%(  1) -199,900</t>
  </si>
  <si>
    <t xml:space="preserve">  disc item   30%(  1)  -59,970</t>
  </si>
  <si>
    <t>94859702 EPRISE                 143,430</t>
  </si>
  <si>
    <t xml:space="preserve">                 1  @   409,800</t>
  </si>
  <si>
    <t xml:space="preserve">  disc subtl  50%(  1) -204,900</t>
  </si>
  <si>
    <t xml:space="preserve">  disc item   30%(  1)  -61,470</t>
  </si>
  <si>
    <t>93024801 DONASI                      40</t>
  </si>
  <si>
    <t xml:space="preserve">      4 ITEMS        TOTAL :    283,400</t>
  </si>
  <si>
    <t xml:space="preserve">                       TUNAI    284,000</t>
  </si>
  <si>
    <t xml:space="preserve">                     KEMBALI       -600</t>
  </si>
  <si>
    <t>PENJUALAN    0362 80026  2090  01/01/17</t>
  </si>
  <si>
    <t xml:space="preserve">                       092739  15:26:41</t>
  </si>
  <si>
    <t>17899653 BATH TOWEL JACQ YD 4    95,920S</t>
  </si>
  <si>
    <t xml:space="preserve">                 1  @   119,900</t>
  </si>
  <si>
    <t xml:space="preserve">  disc item   20%(  1)  -23,980</t>
  </si>
  <si>
    <t>93024801 DONASI                      80</t>
  </si>
  <si>
    <t xml:space="preserve">      3 ITEMS        TOTAL :     96,000</t>
  </si>
  <si>
    <t xml:space="preserve">                     KEMBALI     -4,000</t>
  </si>
  <si>
    <t>PENJUALAN    0362 80026  2091  01/01/17</t>
  </si>
  <si>
    <t xml:space="preserve">                       092739  15:29:13</t>
  </si>
  <si>
    <t>94833515 UOMO                   150,000</t>
  </si>
  <si>
    <t xml:space="preserve">                 1  @   187,500</t>
  </si>
  <si>
    <t xml:space="preserve">  disc item   20%(  1)  -37,500</t>
  </si>
  <si>
    <t xml:space="preserve">      2 ITEMS        TOTAL :    150,000</t>
  </si>
  <si>
    <t xml:space="preserve">                     KEMBALI    -50,000</t>
  </si>
  <si>
    <t>PENJUALAN    0362 80026  2092  01/01/17</t>
  </si>
  <si>
    <t xml:space="preserve">                       092739  15:37:22</t>
  </si>
  <si>
    <t>PENJUALAN    0362 80026  2093  01/01/17</t>
  </si>
  <si>
    <t xml:space="preserve">                       092739  15:51:58</t>
  </si>
  <si>
    <t>601900XXXXXXXXXX  Paspor BCA    180,000</t>
  </si>
  <si>
    <t>PENJUALAN    0362 80026  2094  01/01/17</t>
  </si>
  <si>
    <t xml:space="preserve">                       092739  15:56:55</t>
  </si>
  <si>
    <t>472647XXXXXXXXXX        Visa    180,000</t>
  </si>
  <si>
    <t>DARREN ANDERSON/</t>
  </si>
  <si>
    <t>TUTUP        0362 80026  2095  01/01/17</t>
  </si>
  <si>
    <t>REGISTER               092739  16:02:09</t>
  </si>
  <si>
    <t>D-36210.80026092739.20170101160209.2095</t>
  </si>
  <si>
    <t>BUKA         0362 80026  2096  01/01/17</t>
  </si>
  <si>
    <t>REGISTER               105310  16:06:37</t>
  </si>
  <si>
    <t>PENJUALAN    0362 80026  2097  01/01/17</t>
  </si>
  <si>
    <t xml:space="preserve">                       105310  16:08:19</t>
  </si>
  <si>
    <t xml:space="preserve">  disc item   (-)(  1) -100,000</t>
  </si>
  <si>
    <t>PENJUALAN    0362 80026  2098  01/01/17</t>
  </si>
  <si>
    <t xml:space="preserve">                       105310  16:16:29</t>
  </si>
  <si>
    <t>18280943 CHIC GIRL               98,940</t>
  </si>
  <si>
    <t xml:space="preserve">                 1  @   329,800</t>
  </si>
  <si>
    <t xml:space="preserve">  disc item   70%(  1) -230,860</t>
  </si>
  <si>
    <t>94833515 UOMO                   125,000</t>
  </si>
  <si>
    <t>93024801 DONASI                      60</t>
  </si>
  <si>
    <t xml:space="preserve">      4 ITEMS        TOTAL :    224,000</t>
  </si>
  <si>
    <t xml:space="preserve">                       TUNAI    230,000</t>
  </si>
  <si>
    <t xml:space="preserve">                     KEMBALI     -6,000</t>
  </si>
  <si>
    <t>PENJUALAN    0362 80026  2099  01/01/17</t>
  </si>
  <si>
    <t xml:space="preserve">                       105310  16:20:32</t>
  </si>
  <si>
    <t xml:space="preserve">                       TUNAI    180,000</t>
  </si>
  <si>
    <t>PENJUALAN    0362 80026  2100  01/01/17</t>
  </si>
  <si>
    <t xml:space="preserve">                       105310  16:21:57</t>
  </si>
  <si>
    <t xml:space="preserve">                 1  @    99,000</t>
  </si>
  <si>
    <t xml:space="preserve">  disc item   20%(  1)  -19,800</t>
  </si>
  <si>
    <t>NO MCC : 330487704</t>
  </si>
  <si>
    <t>BUKA         0362 80026  2101  01/01/17</t>
  </si>
  <si>
    <t>LACI                   105310  16:22:23</t>
  </si>
  <si>
    <t>ALASAN:    ____________________________</t>
  </si>
  <si>
    <t>TANDA TANGAN: _________________________</t>
  </si>
  <si>
    <t>PENJUALAN    0362 80026  2103  01/01/17</t>
  </si>
  <si>
    <t xml:space="preserve">                       105310  16:27:11</t>
  </si>
  <si>
    <t>** TRANSAKSI RETUR / TUKAR ***</t>
  </si>
  <si>
    <t>94833515 UOMO                  -125,000</t>
  </si>
  <si>
    <t xml:space="preserve"> -1/  0 ITEMS        TOTAL :   -125,000</t>
  </si>
  <si>
    <t xml:space="preserve">                       TUNAI   -125,000</t>
  </si>
  <si>
    <t>PENJUALAN    0362 80026  2104  01/01/17</t>
  </si>
  <si>
    <t xml:space="preserve">                       105310  16:28:05</t>
  </si>
  <si>
    <t>94833515 UOMO                   100,000</t>
  </si>
  <si>
    <t xml:space="preserve">                 1  @   125,000</t>
  </si>
  <si>
    <t xml:space="preserve">  disc item   20%(  1)  -25,000</t>
  </si>
  <si>
    <t xml:space="preserve">      1  ITEM        TOTAL :    100,000</t>
  </si>
  <si>
    <t>PENJUALAN    0362 80026  2105  01/01/17</t>
  </si>
  <si>
    <t xml:space="preserve">                       105310  16:36:16</t>
  </si>
  <si>
    <t>94859828 VENEZIA                100,000</t>
  </si>
  <si>
    <t>NO MCC : 509513174</t>
  </si>
  <si>
    <t>PENJUALAN    0362 80026  2106  01/01/17</t>
  </si>
  <si>
    <t xml:space="preserve">                       105310  16:39:12</t>
  </si>
  <si>
    <t>PENJUALAN    0362 80026  2107  01/01/17</t>
  </si>
  <si>
    <t xml:space="preserve">                       105310  16:40:49</t>
  </si>
  <si>
    <t>18141889 TRAVEL TOWEL DOBBY P    33,267</t>
  </si>
  <si>
    <t xml:space="preserve">                 1  @    49,900</t>
  </si>
  <si>
    <t xml:space="preserve">  disc subtl  (-)(  1)  -16,633</t>
  </si>
  <si>
    <t>18141898 TRAVEL TOWEL DOBBY P    33,267</t>
  </si>
  <si>
    <t>18141914 TRAVEL TOWEL DOBBY P    33,267</t>
  </si>
  <si>
    <t xml:space="preserve">      5 ITEMS        TOTAL :     99,900</t>
  </si>
  <si>
    <t>PENJUALAN    0362 80026  2108  01/01/17</t>
  </si>
  <si>
    <t xml:space="preserve">                       105310  16:41:54</t>
  </si>
  <si>
    <t xml:space="preserve">      2 ITEMS        TOTAL :     93,000</t>
  </si>
  <si>
    <t xml:space="preserve">                     KEMBALI     -7,000</t>
  </si>
  <si>
    <t>PENJUALAN    0362 80026  2109  01/01/17</t>
  </si>
  <si>
    <t xml:space="preserve">                       105310  16:48:36</t>
  </si>
  <si>
    <t>PENJUALAN    0362 80026  2110  01/01/17</t>
  </si>
  <si>
    <t xml:space="preserve">                       105310  17:12:15</t>
  </si>
  <si>
    <t>PENJUALAN    0362 80026  2111  01/01/17</t>
  </si>
  <si>
    <t xml:space="preserve">                       105310  17:18:59</t>
  </si>
  <si>
    <t>526422XXXXXXXXXXDebet Master     99,000</t>
  </si>
  <si>
    <t>PENJUALAN    0362 80026  2112  01/01/17</t>
  </si>
  <si>
    <t xml:space="preserve">                       105310  17:20:54</t>
  </si>
  <si>
    <t>PENJUALAN    0362 80026  2113  01/01/17</t>
  </si>
  <si>
    <t xml:space="preserve">                       105310  17:22:15</t>
  </si>
  <si>
    <t xml:space="preserve">      3 ITEMS        TOTAL :     78,000</t>
  </si>
  <si>
    <t xml:space="preserve">                     KEMBALI    -22,000</t>
  </si>
  <si>
    <t>PENJUALAN    0362 80026  2114  01/01/17</t>
  </si>
  <si>
    <t xml:space="preserve">                       105310  17:23:18</t>
  </si>
  <si>
    <t>PENJUALAN    0362 80026  2115  01/01/17</t>
  </si>
  <si>
    <t xml:space="preserve">                       105310  17:30:46</t>
  </si>
  <si>
    <t>18141209 BATH TOWEL DOBBY PD    106,600</t>
  </si>
  <si>
    <t xml:space="preserve">                 2  @    79,900</t>
  </si>
  <si>
    <t xml:space="preserve">  disc subtl  (-)(  2)  -53,200</t>
  </si>
  <si>
    <t>18141067 BATH TOWEL DOBBY PD     53,300</t>
  </si>
  <si>
    <t xml:space="preserve">  disc subtl  (-)(  1)  -26,600</t>
  </si>
  <si>
    <t xml:space="preserve">                 3  @         0</t>
  </si>
  <si>
    <t xml:space="preserve">      6 ITEMS        TOTAL :    159,900</t>
  </si>
  <si>
    <t xml:space="preserve">                       TUNAI    170,000</t>
  </si>
  <si>
    <t xml:space="preserve">                     KEMBALI    -10,100</t>
  </si>
  <si>
    <t>PENJUALAN    0362 80026  2116  01/01/17</t>
  </si>
  <si>
    <t xml:space="preserve">                       105310  17:35:56</t>
  </si>
  <si>
    <t>94859828 VENEZIA                120,000</t>
  </si>
  <si>
    <t xml:space="preserve">                 1  @   150,000</t>
  </si>
  <si>
    <t xml:space="preserve">  disc item   20%(  1)  -30,000</t>
  </si>
  <si>
    <t xml:space="preserve">      2 ITEMS        TOTAL :    120,000</t>
  </si>
  <si>
    <t xml:space="preserve">                     KEMBALI    -30,000</t>
  </si>
  <si>
    <t>PENJUALAN    0362 80026  2117  01/01/17</t>
  </si>
  <si>
    <t xml:space="preserve">                       105310  18:21:04</t>
  </si>
  <si>
    <t>PENJUALAN    0362 80026  2118  01/01/17</t>
  </si>
  <si>
    <t xml:space="preserve">                       105310  18:24:57</t>
  </si>
  <si>
    <t>94859711 EPRISE                 143,430</t>
  </si>
  <si>
    <t xml:space="preserve">  disc item   50%(  1) -204,900</t>
  </si>
  <si>
    <t>94859711 EPRISE                 125,930</t>
  </si>
  <si>
    <t xml:space="preserve">                 1  @   359,800</t>
  </si>
  <si>
    <t xml:space="preserve">  disc item   50%(  1) -179,900</t>
  </si>
  <si>
    <t xml:space="preserve">  disc item   30%(  1)  -53,970</t>
  </si>
  <si>
    <t xml:space="preserve">      5 ITEMS        TOTAL :    369,400</t>
  </si>
  <si>
    <t xml:space="preserve">                       TUNAI    400,000</t>
  </si>
  <si>
    <t xml:space="preserve">                     KEMBALI    -30,600</t>
  </si>
  <si>
    <t xml:space="preserve">    KUPON DISKON</t>
  </si>
  <si>
    <t>NO. -</t>
  </si>
  <si>
    <t>Rp.    100,000,-</t>
  </si>
  <si>
    <t>* SYARAT DAN KETENTUAN BERLAKU</t>
  </si>
  <si>
    <t xml:space="preserve"> *)</t>
  </si>
  <si>
    <t>- TIDAK BERLAKU UNTUK KOSMETIK,</t>
  </si>
  <si>
    <t xml:space="preserve">  SPORT STATION,ROYAL SPORTING HOUSE,</t>
  </si>
  <si>
    <t xml:space="preserve">  dan BARANG YANG TELAH DIDISKON</t>
  </si>
  <si>
    <t>- 1 KUPON DISKON BERLAKU UNTUK</t>
  </si>
  <si>
    <t xml:space="preserve">  BELANJA MINIMUM PERKELIPATAN</t>
  </si>
  <si>
    <t xml:space="preserve">  Rp. 200.000,- DALAM 1 STRUK</t>
  </si>
  <si>
    <t>PENJUALAN    0362 80026  2119  01/01/17</t>
  </si>
  <si>
    <t xml:space="preserve">                       105310  18:29:54</t>
  </si>
  <si>
    <t>PENJUALAN    0362 80026  2120  01/01/17</t>
  </si>
  <si>
    <t xml:space="preserve">                       105310  18:33:35</t>
  </si>
  <si>
    <t>522184XXXXXXXXXXDebet Master    120,000</t>
  </si>
  <si>
    <t>XREAD        0362 80026  2121  01/01/17</t>
  </si>
  <si>
    <t xml:space="preserve">                       105310  18:35:11</t>
  </si>
  <si>
    <t xml:space="preserve">TOTAL PER MEDIA PEMBAYARAN </t>
  </si>
  <si>
    <t>TUNAI                         5,722,540</t>
  </si>
  <si>
    <t>Visa                            360,000</t>
  </si>
  <si>
    <t>Debet Master                    219,000</t>
  </si>
  <si>
    <t>Paspor BCA                      240,000</t>
  </si>
  <si>
    <t>LAIN - LAIN</t>
  </si>
  <si>
    <t>BUKA LACI                        (   1)</t>
  </si>
  <si>
    <t>BUKA REGISTER                    (   2)</t>
  </si>
  <si>
    <t>PENJUALAN               6,666,540(  49)</t>
  </si>
  <si>
    <t>PRINT DUPLICATE                  (   1)</t>
  </si>
  <si>
    <t>RETUR/TUKAR              -125,000(   1)</t>
  </si>
  <si>
    <t>TUTUP REGISTER                   (   1)</t>
  </si>
  <si>
    <t>XREAD                            (   1)</t>
  </si>
  <si>
    <t>PENJUALAN    0362 80026  2122  01/01/17</t>
  </si>
  <si>
    <t xml:space="preserve">                       105310  18:41:48</t>
  </si>
  <si>
    <t>PENJUALAN    0362 80026  2123  01/01/17</t>
  </si>
  <si>
    <t xml:space="preserve">                       105310  18:56:17</t>
  </si>
  <si>
    <t xml:space="preserve">      4 ITEMS        TOTAL :    280,000</t>
  </si>
  <si>
    <t>461699XXXXXXXXXXMandiri Gold    280,000</t>
  </si>
  <si>
    <t>NO MCC : 330487845</t>
  </si>
  <si>
    <t>PENJUALAN    0362 80026  2124  01/01/17</t>
  </si>
  <si>
    <t xml:space="preserve">                       105310  18:59:04</t>
  </si>
  <si>
    <t xml:space="preserve">                       TUNAI    130,000</t>
  </si>
  <si>
    <t xml:space="preserve">                     KEMBALI     -4,300</t>
  </si>
  <si>
    <t>PENJUALAN    0362 80026  2125  01/01/17</t>
  </si>
  <si>
    <t xml:space="preserve">                       105310  19:00:07</t>
  </si>
  <si>
    <t>PENJUALAN    0362 80026  2126  01/01/17</t>
  </si>
  <si>
    <t xml:space="preserve">                       105310  19:07:04</t>
  </si>
  <si>
    <t>94905125 FLADEO                 139,650</t>
  </si>
  <si>
    <t xml:space="preserve">      3 ITEMS        TOTAL :    139,700</t>
  </si>
  <si>
    <t xml:space="preserve">                     KEMBALI    -60,300</t>
  </si>
  <si>
    <t>PENJUALAN    0362 80026  2127  01/01/17</t>
  </si>
  <si>
    <t xml:space="preserve">                       105310  19:27:01</t>
  </si>
  <si>
    <t>PENJUALAN    0362 80026  2128  01/01/17</t>
  </si>
  <si>
    <t xml:space="preserve">                       105310  19:29:25</t>
  </si>
  <si>
    <t>NO MCC : 509515336</t>
  </si>
  <si>
    <t>PENJUALAN    0362 80026  2129  01/01/17</t>
  </si>
  <si>
    <t xml:space="preserve">                       105310  19:33:23</t>
  </si>
  <si>
    <t xml:space="preserve">      2 ITEMS        TOTAL :    125,650</t>
  </si>
  <si>
    <t>557791XXXXXXXXXXDebet Master    125,650</t>
  </si>
  <si>
    <t>PENJUALAN    0362 80026  2130  01/01/17</t>
  </si>
  <si>
    <t xml:space="preserve">                       105310  19:35:42</t>
  </si>
  <si>
    <t>PENJUALAN    0362 80026  2131  01/01/17</t>
  </si>
  <si>
    <t xml:space="preserve">                       105310  19:46:56</t>
  </si>
  <si>
    <t>PENJUALAN    0362 80026  2132  01/01/17</t>
  </si>
  <si>
    <t xml:space="preserve">                       105310  20:01:26</t>
  </si>
  <si>
    <t>94899802 N &amp; M                  111,000</t>
  </si>
  <si>
    <t>94899802 N &amp; M                  117,000</t>
  </si>
  <si>
    <t xml:space="preserve">      3 ITEMS        TOTAL :    228,000</t>
  </si>
  <si>
    <t xml:space="preserve">                       TUNAI    250,000</t>
  </si>
  <si>
    <t>NO MCC : 509510584</t>
  </si>
  <si>
    <t>PENJUALAN    0362 80026  2133  01/01/17</t>
  </si>
  <si>
    <t xml:space="preserve">                       105310  20:03:39</t>
  </si>
  <si>
    <t>PENJUALAN    0362 80026  2134  01/01/17</t>
  </si>
  <si>
    <t xml:space="preserve">                       105310  20:29:35</t>
  </si>
  <si>
    <t>18708571 BATH TOWEL JACQ PD 3    79,933S</t>
  </si>
  <si>
    <t xml:space="preserve">  disc subtl  (-)(  1)  -39,967</t>
  </si>
  <si>
    <t>18708562 BATH TOWEL JACQ PD 3    79,933S</t>
  </si>
  <si>
    <t>17899653 BATH TOWEL JACQ YD 4    79,933S</t>
  </si>
  <si>
    <t>93024801 DONASI                       1</t>
  </si>
  <si>
    <t xml:space="preserve">      5 ITEMS        TOTAL :    239,800</t>
  </si>
  <si>
    <t xml:space="preserve">                       TUNAI          1</t>
  </si>
  <si>
    <t>461700XXXXXXXXXXMandiri Plat    239,799</t>
  </si>
  <si>
    <t>XREAD        0362 80026  2135  01/01/17</t>
  </si>
  <si>
    <t xml:space="preserve">                       105310  20:51:24</t>
  </si>
  <si>
    <t>TUNAI                         7,153,941</t>
  </si>
  <si>
    <t>Debet Master                    344,650</t>
  </si>
  <si>
    <t>Mandiri Gold                    280,000</t>
  </si>
  <si>
    <t>Mandiri Platinu                 239,799</t>
  </si>
  <si>
    <t>PENJUALAN               8,743,390(  62)</t>
  </si>
  <si>
    <t>XREAD                            (   2)</t>
  </si>
  <si>
    <t>PENJUALAN    0362 80026  2136  01/01/17</t>
  </si>
  <si>
    <t xml:space="preserve">                       105310  20:52:49</t>
  </si>
  <si>
    <t>94706546 YONGKI KOMALADI         99,000</t>
  </si>
  <si>
    <t>NO MCC : 324731612</t>
  </si>
  <si>
    <t>PENJUALAN    0362 80026  2137  01/01/17</t>
  </si>
  <si>
    <t xml:space="preserve">                       105310  21:08:34</t>
  </si>
  <si>
    <t>94704860 YONGKI KOMALADI        198,000</t>
  </si>
  <si>
    <t xml:space="preserve">                 2  @    99,000</t>
  </si>
  <si>
    <t xml:space="preserve">                 2  @         0</t>
  </si>
  <si>
    <t xml:space="preserve">      5 ITEMS        TOTAL :    277,200</t>
  </si>
  <si>
    <t>601900XXXXXXXXXX  Paspor BCA    277,200</t>
  </si>
  <si>
    <t>NO MCC : 300994573</t>
  </si>
  <si>
    <t>TUTUP        0362 80026  2138  01/01/17</t>
  </si>
  <si>
    <t>REGISTER               105310  21:41:33</t>
  </si>
  <si>
    <t>D-36210.80026105310.20170101214133.2138</t>
  </si>
  <si>
    <t>SKU</t>
  </si>
  <si>
    <t>Raw Data</t>
  </si>
  <si>
    <t>Desc</t>
  </si>
  <si>
    <t>Nett Sales</t>
  </si>
  <si>
    <t>QTY</t>
  </si>
  <si>
    <t>Disc Raw Data</t>
  </si>
  <si>
    <t>Item Disc</t>
  </si>
  <si>
    <t>SKU Item Disc</t>
  </si>
  <si>
    <t xml:space="preserve">Item Disc Desc </t>
  </si>
  <si>
    <t>Nett Sales Item Disc</t>
  </si>
  <si>
    <t>Qty Item Disc</t>
  </si>
  <si>
    <t xml:space="preserve">Disc </t>
  </si>
  <si>
    <t>Kolom bantu 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</si>
</sst>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rgb="FF000033"/>
      <name val="Verdana"/>
      <family val="2"/>
    </font>
    <font>
      <b/>
      <sz val="9"/>
      <color rgb="FF000033"/>
      <name val="Arial"/>
      <family val="2"/>
    </font>
    <font>
      <b/>
      <sz val="9"/>
      <color rgb="FF000033"/>
      <name val="Verdana"/>
      <family val="2"/>
    </font>
    <font>
      <sz val="10"/>
      <color theme="1"/>
      <name val="Arial Unicode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vertical="center"/>
    </xf>
    <xf numFmtId="3" fontId="0" fillId="0" borderId="0" xfId="0" applyNumberFormat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C6EB-4D73-4432-AA90-733C4B67C99F}">
  <dimension ref="A1:U43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7" max="7" width="9.140625" customWidth="1"/>
    <col min="8" max="8" width="42.7109375" customWidth="1"/>
    <col min="9" max="9" width="9" customWidth="1"/>
    <col min="10" max="10" width="23.140625" customWidth="1"/>
    <col min="11" max="11" width="10" customWidth="1"/>
    <col min="12" max="12" width="4.42578125" customWidth="1"/>
    <col min="13" max="13" width="9.140625" customWidth="1"/>
    <col min="14" max="14" width="27.42578125" bestFit="1" customWidth="1"/>
    <col min="15" max="15" width="12.42578125" bestFit="1" customWidth="1"/>
    <col min="16" max="16" width="12.7109375" bestFit="1" customWidth="1"/>
    <col min="17" max="17" width="17.28515625" bestFit="1" customWidth="1"/>
    <col min="18" max="18" width="39.5703125" bestFit="1" customWidth="1"/>
    <col min="20" max="20" width="26" bestFit="1" customWidth="1"/>
    <col min="21" max="21" width="18.85546875" bestFit="1" customWidth="1"/>
  </cols>
  <sheetData>
    <row r="1" spans="1:21">
      <c r="A1" s="1"/>
      <c r="B1" s="2" t="s">
        <v>0</v>
      </c>
      <c r="H1" t="s">
        <v>404</v>
      </c>
      <c r="I1" t="s">
        <v>403</v>
      </c>
      <c r="J1" t="s">
        <v>405</v>
      </c>
      <c r="K1" t="s">
        <v>406</v>
      </c>
      <c r="L1" t="s">
        <v>407</v>
      </c>
      <c r="N1" t="s">
        <v>408</v>
      </c>
      <c r="O1" t="s">
        <v>414</v>
      </c>
      <c r="P1" t="s">
        <v>413</v>
      </c>
      <c r="Q1" t="s">
        <v>415</v>
      </c>
      <c r="R1" t="s">
        <v>409</v>
      </c>
      <c r="S1" t="s">
        <v>410</v>
      </c>
      <c r="T1" t="s">
        <v>411</v>
      </c>
      <c r="U1" t="s">
        <v>412</v>
      </c>
    </row>
    <row r="2" spans="1:21">
      <c r="A2" s="1"/>
      <c r="B2" s="3" t="s">
        <v>1</v>
      </c>
      <c r="H2" s="5" t="s">
        <v>375</v>
      </c>
      <c r="I2" s="5">
        <f>LEFT(H2,FIND(" ",H2))-1</f>
        <v>17899652</v>
      </c>
      <c r="J2" t="str">
        <f>MID(H2,FIND(" ",H2)+1,LEN(H2)-(FIND(" ",H2)+1)-(LEN(H2)-FIND("]",SUBSTITUTE(H2," ","]",LEN(H2)-LEN(SUBSTITUTE(H2," ",""))))))</f>
        <v xml:space="preserve">BATH TOWEL JACQ YD 4   </v>
      </c>
      <c r="K2" s="8">
        <f>VALUE(SUBSTITUTE(RIGHT(H2,LEN(H2)-FIND("]",(SUBSTITUTE(H2," ","]",LEN(H2)-LEN(SUBSTITUTE(H2," ","")))))),"S",""))</f>
        <v>79933</v>
      </c>
      <c r="L2">
        <f t="shared" ref="L2:L33" ca="1" si="0">IFERROR((--LEFT(INDIRECT("A"&amp;MATCH(H2,A:A,0)+1),FIND("@",INDIRECT("A"&amp;MATCH(H2,A:A,0)+1))-1)),1)</f>
        <v>1</v>
      </c>
      <c r="N2" s="5" t="s">
        <v>200</v>
      </c>
      <c r="O2">
        <f>IFERROR(_xlfn.NUMBERVALUE(MID(N2,FIND("-",N2),LEN(N2))),(MID(N2,FIND("-",N2,FIND("-",N2)+1),LEN(N2))))*1</f>
        <v>-100000</v>
      </c>
      <c r="P2">
        <f t="shared" ref="P2:P49" si="1">--MID(N2,FIND("( ",N2)+1,FIND(")",N2,FIND("( ",N2)+1)-(FIND("( ",N2)+1))</f>
        <v>1</v>
      </c>
      <c r="Q2">
        <f>MATCH(N2,A:A,0)</f>
        <v>1873</v>
      </c>
      <c r="R2" t="str">
        <f ca="1">IF(OR(LEFT(INDIRECT("a"&amp;Q2-2),1)="1",LEFT(INDIRECT("a"&amp;Q2-2),1)="2",LEFT(INDIRECT("a"&amp;Q2-2),1)="9"),INDIRECT("a"&amp;Q2-2),INDIRECT("a"&amp;Q2-3))</f>
        <v>94757536 HIPO-FANT APP.         100,000</v>
      </c>
      <c r="S2" s="5">
        <f ca="1">LEFT(R2,FIND(" ",R2))-1</f>
        <v>94757535</v>
      </c>
      <c r="T2" t="str">
        <f ca="1">MID(R2,FIND(" ",R2)+1,LEN(R2)-(FIND(" ",R2)+1)-(LEN(R2)-FIND("]",SUBSTITUTE(R2," ","]",LEN(R2)-LEN(SUBSTITUTE(R2," ",""))))))</f>
        <v xml:space="preserve">HIPO-FANT APP.        </v>
      </c>
      <c r="U2" s="8">
        <f ca="1">VALUE(SUBSTITUTE(RIGHT(R2,LEN(R2)-FIND("]",(SUBSTITUTE(R2," ","]",LEN(R2)-LEN(SUBSTITUTE(R2," ","")))))),"S",""))</f>
        <v>100000</v>
      </c>
    </row>
    <row r="3" spans="1:21">
      <c r="A3" s="1"/>
      <c r="B3" s="4" t="s">
        <v>2</v>
      </c>
      <c r="H3" s="5" t="s">
        <v>171</v>
      </c>
      <c r="I3" s="5">
        <f t="shared" ref="I3:I66" si="2">LEFT(H3,FIND(" ",H3))-1</f>
        <v>17899652</v>
      </c>
      <c r="J3" t="str">
        <f t="shared" ref="J3:J66" si="3">MID(H3,FIND(" ",H3)+1,LEN(H3)-(FIND(" ",H3)+1)-(LEN(H3)-FIND("]",SUBSTITUTE(H3," ","]",LEN(H3)-LEN(SUBSTITUTE(H3," ",""))))))</f>
        <v xml:space="preserve">BATH TOWEL JACQ YD 4   </v>
      </c>
      <c r="K3" s="8">
        <f t="shared" ref="K3:K66" si="4">VALUE(SUBSTITUTE(RIGHT(H3,LEN(H3)-FIND("]",(SUBSTITUTE(H3," ","]",LEN(H3)-LEN(SUBSTITUTE(H3," ","")))))),"S",""))</f>
        <v>95920</v>
      </c>
      <c r="L3">
        <f t="shared" ca="1" si="0"/>
        <v>1</v>
      </c>
      <c r="N3" s="5" t="s">
        <v>200</v>
      </c>
      <c r="O3">
        <f>IFERROR(_xlfn.NUMBERVALUE(MID(N3,FIND("-",N3),LEN(N3))),(MID(N3,FIND("-",N3,FIND("-",N3)+1),LEN(N3))))*1</f>
        <v>-100000</v>
      </c>
      <c r="P3">
        <f t="shared" si="1"/>
        <v>1</v>
      </c>
      <c r="Q3">
        <f ca="1">IF(MATCH(N3,A:A,0)=_xlfn.MINIFS($Q$2:Q2,$N$2:N2,N3),MATCH(N3,INDIRECT("A"&amp;Q2+1&amp;":A1000000"),0)+Q2,MATCH(N3,A:A,0))</f>
        <v>2669</v>
      </c>
      <c r="R3" t="str">
        <f t="shared" ref="R3:R49" ca="1" si="5">IF(OR(LEFT(INDIRECT("a"&amp;Q3-2),1)="1",LEFT(INDIRECT("a"&amp;Q3-2),1)="2",LEFT(INDIRECT("a"&amp;Q3-2),1)="9"),INDIRECT("a"&amp;Q3-2),INDIRECT("a"&amp;Q3-3))</f>
        <v>94757536 HIPO-FANT APP.         100,000</v>
      </c>
      <c r="S3" s="5">
        <f t="shared" ref="S3:S49" ca="1" si="6">LEFT(R3,FIND(" ",R3))-1</f>
        <v>94757535</v>
      </c>
      <c r="T3" t="str">
        <f t="shared" ref="T3:T49" ca="1" si="7">MID(R3,FIND(" ",R3)+1,LEN(R3)-(FIND(" ",R3)+1)-(LEN(R3)-FIND("]",SUBSTITUTE(R3," ","]",LEN(R3)-LEN(SUBSTITUTE(R3," ",""))))))</f>
        <v xml:space="preserve">HIPO-FANT APP.        </v>
      </c>
      <c r="U3" s="8">
        <f t="shared" ref="U3:U49" ca="1" si="8">VALUE(SUBSTITUTE(RIGHT(R3,LEN(R3)-FIND("]",(SUBSTITUTE(R3," ","]",LEN(R3)-LEN(SUBSTITUTE(R3," ","")))))),"S",""))</f>
        <v>100000</v>
      </c>
    </row>
    <row r="4" spans="1:21">
      <c r="H4" s="5" t="s">
        <v>144</v>
      </c>
      <c r="I4" s="5">
        <f t="shared" si="2"/>
        <v>18141048</v>
      </c>
      <c r="J4" t="str">
        <f t="shared" si="3"/>
        <v xml:space="preserve">BATH TOWEL DOBBY PD    </v>
      </c>
      <c r="K4" s="8">
        <f t="shared" si="4"/>
        <v>53267</v>
      </c>
      <c r="L4">
        <f t="shared" ca="1" si="0"/>
        <v>1</v>
      </c>
      <c r="N4" s="5" t="s">
        <v>200</v>
      </c>
      <c r="O4">
        <f t="shared" ref="O4:O49" si="9">IFERROR(_xlfn.NUMBERVALUE(MID(N4,FIND("-",N4),LEN(N4))),(MID(N4,FIND("-",N4,FIND("-",N4)+1),LEN(N4))))*1</f>
        <v>-100000</v>
      </c>
      <c r="P4">
        <f t="shared" si="1"/>
        <v>1</v>
      </c>
      <c r="Q4">
        <f ca="1">IF(MATCH(N4,A:A,0)=_xlfn.MINIFS($Q$2:Q3,$N$2:N3,N4),MATCH(N4,INDIRECT("A"&amp;Q3+1&amp;":A1000000"),0)+Q3,MATCH(N4,A:A,0))</f>
        <v>3363</v>
      </c>
      <c r="R4" t="str">
        <f t="shared" ca="1" si="5"/>
        <v>94757536 HIPO-FANT APP.         100,000</v>
      </c>
      <c r="S4" s="5">
        <f t="shared" ca="1" si="6"/>
        <v>94757535</v>
      </c>
      <c r="T4" t="str">
        <f t="shared" ca="1" si="7"/>
        <v xml:space="preserve">HIPO-FANT APP.        </v>
      </c>
      <c r="U4" s="8">
        <f t="shared" ca="1" si="8"/>
        <v>100000</v>
      </c>
    </row>
    <row r="5" spans="1:21">
      <c r="A5" s="5" t="s">
        <v>3</v>
      </c>
      <c r="H5" s="5" t="s">
        <v>143</v>
      </c>
      <c r="I5" s="5">
        <f t="shared" si="2"/>
        <v>18141066</v>
      </c>
      <c r="J5" t="str">
        <f t="shared" si="3"/>
        <v xml:space="preserve">BATH TOWEL DOBBY PD    </v>
      </c>
      <c r="K5" s="8">
        <f t="shared" si="4"/>
        <v>53267</v>
      </c>
      <c r="L5">
        <f t="shared" ca="1" si="0"/>
        <v>1</v>
      </c>
      <c r="N5" s="5" t="s">
        <v>200</v>
      </c>
      <c r="O5">
        <f t="shared" si="9"/>
        <v>-100000</v>
      </c>
      <c r="P5">
        <f t="shared" si="1"/>
        <v>1</v>
      </c>
      <c r="Q5">
        <f ca="1">IF(MATCH(N5,A:A,0)=_xlfn.MINIFS($Q$2:Q4,$N$2:N4,N5),MATCH(N5,INDIRECT("A"&amp;Q4+1&amp;":A1000000"),0)+Q4,MATCH(N5,A:A,0))</f>
        <v>3504</v>
      </c>
      <c r="R5" t="str">
        <f t="shared" ca="1" si="5"/>
        <v>94757536 HIPO-FANT APP.         100,000</v>
      </c>
      <c r="S5" s="5">
        <f t="shared" ca="1" si="6"/>
        <v>94757535</v>
      </c>
      <c r="T5" t="str">
        <f t="shared" ca="1" si="7"/>
        <v xml:space="preserve">HIPO-FANT APP.        </v>
      </c>
      <c r="U5" s="8">
        <f t="shared" ca="1" si="8"/>
        <v>100000</v>
      </c>
    </row>
    <row r="6" spans="1:21">
      <c r="A6" s="5" t="s">
        <v>4</v>
      </c>
      <c r="H6" s="5" t="s">
        <v>273</v>
      </c>
      <c r="I6" s="5">
        <f t="shared" si="2"/>
        <v>18141066</v>
      </c>
      <c r="J6" t="str">
        <f t="shared" si="3"/>
        <v xml:space="preserve">BATH TOWEL DOBBY PD    </v>
      </c>
      <c r="K6" s="8">
        <f t="shared" si="4"/>
        <v>53300</v>
      </c>
      <c r="L6">
        <f t="shared" ca="1" si="0"/>
        <v>1</v>
      </c>
      <c r="N6" s="5" t="s">
        <v>200</v>
      </c>
      <c r="O6">
        <f t="shared" si="9"/>
        <v>-100000</v>
      </c>
      <c r="P6">
        <f t="shared" si="1"/>
        <v>1</v>
      </c>
      <c r="Q6">
        <f ca="1">IF(MATCH(N6,A:A,0)=_xlfn.MINIFS($Q$2:Q5,$N$2:N5,N6),MATCH(N6,INDIRECT("A"&amp;Q5+1&amp;":A1000000"),0)+Q5,MATCH(N6,A:A,0))</f>
        <v>3690</v>
      </c>
      <c r="R6" t="str">
        <f t="shared" ca="1" si="5"/>
        <v>94757536 HIPO-FANT APP.         100,000</v>
      </c>
      <c r="S6" s="5">
        <f t="shared" ca="1" si="6"/>
        <v>94757535</v>
      </c>
      <c r="T6" t="str">
        <f t="shared" ca="1" si="7"/>
        <v xml:space="preserve">HIPO-FANT APP.        </v>
      </c>
      <c r="U6" s="8">
        <f t="shared" ca="1" si="8"/>
        <v>100000</v>
      </c>
    </row>
    <row r="7" spans="1:21">
      <c r="A7" s="5" t="s">
        <v>5</v>
      </c>
      <c r="H7" s="5" t="s">
        <v>68</v>
      </c>
      <c r="I7" s="5">
        <f t="shared" si="2"/>
        <v>18141066</v>
      </c>
      <c r="J7" t="str">
        <f t="shared" si="3"/>
        <v xml:space="preserve">BATH TOWEL DOBBY PD    </v>
      </c>
      <c r="K7" s="8">
        <f t="shared" si="4"/>
        <v>79900</v>
      </c>
      <c r="L7">
        <f t="shared" ca="1" si="0"/>
        <v>1</v>
      </c>
      <c r="N7" s="5" t="s">
        <v>131</v>
      </c>
      <c r="O7">
        <f t="shared" si="9"/>
        <v>-100000</v>
      </c>
      <c r="P7">
        <f t="shared" si="1"/>
        <v>2</v>
      </c>
      <c r="Q7">
        <f ca="1">IF(MATCH(N7,A:A,0)=_xlfn.MINIFS($Q$2:Q6,$N$2:N6,N7),MATCH(N7,INDIRECT("A"&amp;Q6+1&amp;":A1000000"),0)+Q6,MATCH(N7,A:A,0))</f>
        <v>1049</v>
      </c>
      <c r="R7" t="str">
        <f t="shared" ca="1" si="5"/>
        <v>94757536 HIPO-FANT APP.         100,000S</v>
      </c>
      <c r="S7" s="5">
        <f t="shared" ca="1" si="6"/>
        <v>94757535</v>
      </c>
      <c r="T7" t="str">
        <f t="shared" ca="1" si="7"/>
        <v xml:space="preserve">HIPO-FANT APP.        </v>
      </c>
      <c r="U7" s="8">
        <f t="shared" ca="1" si="8"/>
        <v>100000</v>
      </c>
    </row>
    <row r="8" spans="1:21">
      <c r="A8" s="5" t="s">
        <v>6</v>
      </c>
      <c r="H8" s="5" t="s">
        <v>69</v>
      </c>
      <c r="I8" s="5">
        <f t="shared" si="2"/>
        <v>18141208</v>
      </c>
      <c r="J8" t="str">
        <f t="shared" si="3"/>
        <v xml:space="preserve">BATH TOWEL DOBBY PD         </v>
      </c>
      <c r="K8" s="8">
        <f t="shared" si="4"/>
        <v>0</v>
      </c>
      <c r="L8">
        <f t="shared" ca="1" si="0"/>
        <v>1</v>
      </c>
      <c r="N8" s="5" t="s">
        <v>131</v>
      </c>
      <c r="O8">
        <f t="shared" si="9"/>
        <v>-100000</v>
      </c>
      <c r="P8">
        <f t="shared" si="1"/>
        <v>2</v>
      </c>
      <c r="Q8">
        <f ca="1">IF(MATCH(N8,A:A,0)=_xlfn.MINIFS($Q$2:Q7,$N$2:N7,N8),MATCH(N8,INDIRECT("A"&amp;Q7+1&amp;":A1000000"),0)+Q7,MATCH(N8,A:A,0))</f>
        <v>1167</v>
      </c>
      <c r="R8" t="str">
        <f t="shared" ca="1" si="5"/>
        <v>94757536 HIPO-FANT APP.         100,000</v>
      </c>
      <c r="S8" s="5">
        <f t="shared" ca="1" si="6"/>
        <v>94757535</v>
      </c>
      <c r="T8" t="str">
        <f t="shared" ca="1" si="7"/>
        <v xml:space="preserve">HIPO-FANT APP.        </v>
      </c>
      <c r="U8" s="8">
        <f t="shared" ca="1" si="8"/>
        <v>100000</v>
      </c>
    </row>
    <row r="9" spans="1:21">
      <c r="A9" s="5" t="s">
        <v>7</v>
      </c>
      <c r="H9" s="5" t="s">
        <v>141</v>
      </c>
      <c r="I9" s="5">
        <f t="shared" si="2"/>
        <v>18141208</v>
      </c>
      <c r="J9" t="str">
        <f t="shared" si="3"/>
        <v xml:space="preserve">BATH TOWEL DOBBY PD    </v>
      </c>
      <c r="K9" s="8">
        <f t="shared" si="4"/>
        <v>53267</v>
      </c>
      <c r="L9">
        <f t="shared" ca="1" si="0"/>
        <v>1</v>
      </c>
      <c r="N9" s="5" t="s">
        <v>71</v>
      </c>
      <c r="O9">
        <f t="shared" si="9"/>
        <v>-79900</v>
      </c>
      <c r="P9">
        <f t="shared" si="1"/>
        <v>1</v>
      </c>
      <c r="Q9">
        <f ca="1">IF(MATCH(N9,A:A,0)=_xlfn.MINIFS($Q$2:Q8,$N$2:N8,N9),MATCH(N9,INDIRECT("A"&amp;Q8+1&amp;":A1000000"),0)+Q8,MATCH(N9,A:A,0))</f>
        <v>239</v>
      </c>
      <c r="R9" t="str">
        <f t="shared" ca="1" si="5"/>
        <v>18141209 BATH TOWEL DOBBY PD          0</v>
      </c>
      <c r="S9" s="5">
        <f t="shared" ca="1" si="6"/>
        <v>18141208</v>
      </c>
      <c r="T9" t="str">
        <f t="shared" ca="1" si="7"/>
        <v xml:space="preserve">BATH TOWEL DOBBY PD         </v>
      </c>
      <c r="U9" s="8">
        <f t="shared" ca="1" si="8"/>
        <v>0</v>
      </c>
    </row>
    <row r="10" spans="1:21">
      <c r="A10" s="5" t="s">
        <v>6</v>
      </c>
      <c r="H10" s="5" t="s">
        <v>67</v>
      </c>
      <c r="I10" s="5">
        <f t="shared" si="2"/>
        <v>18141208</v>
      </c>
      <c r="J10" t="str">
        <f t="shared" si="3"/>
        <v xml:space="preserve">BATH TOWEL DOBBY PD    </v>
      </c>
      <c r="K10" s="8">
        <f t="shared" si="4"/>
        <v>79900</v>
      </c>
      <c r="L10">
        <f t="shared" ca="1" si="0"/>
        <v>1</v>
      </c>
      <c r="N10" s="5" t="s">
        <v>217</v>
      </c>
      <c r="O10">
        <f t="shared" si="9"/>
        <v>-19800</v>
      </c>
      <c r="P10">
        <f t="shared" si="1"/>
        <v>1</v>
      </c>
      <c r="Q10">
        <f ca="1">IF(MATCH(N10,A:A,0)=_xlfn.MINIFS($Q$2:Q9,$N$2:N9,N10),MATCH(N10,INDIRECT("A"&amp;Q9+1&amp;":A1000000"),0)+Q9,MATCH(N10,A:A,0))</f>
        <v>2089</v>
      </c>
      <c r="R10" t="str">
        <f t="shared" ca="1" si="5"/>
        <v>94706546 YONGKI KOMALADI         79,200</v>
      </c>
      <c r="S10" s="5">
        <f t="shared" ca="1" si="6"/>
        <v>94706545</v>
      </c>
      <c r="T10" t="str">
        <f t="shared" ca="1" si="7"/>
        <v xml:space="preserve">YONGKI KOMALADI        </v>
      </c>
      <c r="U10" s="8">
        <f t="shared" ca="1" si="8"/>
        <v>79200</v>
      </c>
    </row>
    <row r="11" spans="1:21">
      <c r="A11" s="5" t="s">
        <v>8</v>
      </c>
      <c r="H11" s="5" t="s">
        <v>270</v>
      </c>
      <c r="I11" s="5">
        <f t="shared" si="2"/>
        <v>18141208</v>
      </c>
      <c r="J11" t="str">
        <f t="shared" si="3"/>
        <v xml:space="preserve">BATH TOWEL DOBBY PD   </v>
      </c>
      <c r="K11" s="8">
        <f t="shared" si="4"/>
        <v>106600</v>
      </c>
      <c r="L11">
        <f t="shared" ca="1" si="0"/>
        <v>2</v>
      </c>
      <c r="N11" s="5" t="s">
        <v>217</v>
      </c>
      <c r="O11">
        <f t="shared" si="9"/>
        <v>-19800</v>
      </c>
      <c r="P11">
        <f t="shared" si="1"/>
        <v>1</v>
      </c>
      <c r="Q11">
        <f ca="1">IF(MATCH(N11,A:A,0)=_xlfn.MINIFS($Q$2:Q10,$N$2:N10,N11),MATCH(N11,INDIRECT("A"&amp;Q10+1&amp;":A1000000"),0)+Q10,MATCH(N11,A:A,0))</f>
        <v>4241</v>
      </c>
      <c r="R11" t="str">
        <f t="shared" ca="1" si="5"/>
        <v>94706546 YONGKI KOMALADI         79,200</v>
      </c>
      <c r="S11" s="5">
        <f t="shared" ca="1" si="6"/>
        <v>94706545</v>
      </c>
      <c r="T11" t="str">
        <f t="shared" ca="1" si="7"/>
        <v xml:space="preserve">YONGKI KOMALADI        </v>
      </c>
      <c r="U11" s="8">
        <f t="shared" ca="1" si="8"/>
        <v>79200</v>
      </c>
    </row>
    <row r="12" spans="1:21">
      <c r="A12" s="5" t="s">
        <v>9</v>
      </c>
      <c r="H12" s="5" t="s">
        <v>243</v>
      </c>
      <c r="I12" s="5">
        <f t="shared" si="2"/>
        <v>18141888</v>
      </c>
      <c r="J12" t="str">
        <f t="shared" si="3"/>
        <v xml:space="preserve">TRAVEL TOWEL DOBBY P   </v>
      </c>
      <c r="K12" s="8">
        <f t="shared" si="4"/>
        <v>33267</v>
      </c>
      <c r="L12">
        <f t="shared" ca="1" si="0"/>
        <v>1</v>
      </c>
      <c r="N12" s="5" t="s">
        <v>173</v>
      </c>
      <c r="O12">
        <f t="shared" si="9"/>
        <v>-23980</v>
      </c>
      <c r="P12">
        <f t="shared" si="1"/>
        <v>1</v>
      </c>
      <c r="Q12">
        <f ca="1">IF(MATCH(N12,A:A,0)=_xlfn.MINIFS($Q$2:Q11,$N$2:N11,N12),MATCH(N12,INDIRECT("A"&amp;Q11+1&amp;":A1000000"),0)+Q11,MATCH(N12,A:A,0))</f>
        <v>1530</v>
      </c>
      <c r="R12" t="str">
        <f t="shared" ca="1" si="5"/>
        <v>17899653 BATH TOWEL JACQ YD 4    95,920S</v>
      </c>
      <c r="S12" s="5">
        <f t="shared" ca="1" si="6"/>
        <v>17899652</v>
      </c>
      <c r="T12" t="str">
        <f t="shared" ca="1" si="7"/>
        <v xml:space="preserve">BATH TOWEL JACQ YD 4   </v>
      </c>
      <c r="U12" s="8">
        <f t="shared" ca="1" si="8"/>
        <v>95920</v>
      </c>
    </row>
    <row r="13" spans="1:21">
      <c r="A13" s="6"/>
      <c r="H13" s="5" t="s">
        <v>246</v>
      </c>
      <c r="I13" s="5">
        <f t="shared" si="2"/>
        <v>18141897</v>
      </c>
      <c r="J13" t="str">
        <f t="shared" si="3"/>
        <v xml:space="preserve">TRAVEL TOWEL DOBBY P   </v>
      </c>
      <c r="K13" s="8">
        <f t="shared" si="4"/>
        <v>33267</v>
      </c>
      <c r="L13">
        <f t="shared" ca="1" si="0"/>
        <v>1</v>
      </c>
      <c r="N13" s="5" t="s">
        <v>233</v>
      </c>
      <c r="O13">
        <f t="shared" si="9"/>
        <v>-25000</v>
      </c>
      <c r="P13">
        <f t="shared" si="1"/>
        <v>1</v>
      </c>
      <c r="Q13">
        <f ca="1">IF(MATCH(N13,A:A,0)=_xlfn.MINIFS($Q$2:Q12,$N$2:N12,N13),MATCH(N13,INDIRECT("A"&amp;Q12+1&amp;":A1000000"),0)+Q12,MATCH(N13,A:A,0))</f>
        <v>2184</v>
      </c>
      <c r="R13" t="str">
        <f t="shared" ca="1" si="5"/>
        <v>94833515 UOMO                   100,000</v>
      </c>
      <c r="S13" s="5">
        <f t="shared" ca="1" si="6"/>
        <v>94833514</v>
      </c>
      <c r="T13" t="str">
        <f t="shared" ca="1" si="7"/>
        <v xml:space="preserve">UOMO                  </v>
      </c>
      <c r="U13" s="8">
        <f t="shared" ca="1" si="8"/>
        <v>100000</v>
      </c>
    </row>
    <row r="14" spans="1:21">
      <c r="A14" s="5" t="s">
        <v>3</v>
      </c>
      <c r="H14" s="5" t="s">
        <v>247</v>
      </c>
      <c r="I14" s="5">
        <f t="shared" si="2"/>
        <v>18141913</v>
      </c>
      <c r="J14" t="str">
        <f t="shared" si="3"/>
        <v xml:space="preserve">TRAVEL TOWEL DOBBY P   </v>
      </c>
      <c r="K14" s="8">
        <f t="shared" si="4"/>
        <v>33267</v>
      </c>
      <c r="L14">
        <f t="shared" ca="1" si="0"/>
        <v>1</v>
      </c>
      <c r="N14" s="5" t="s">
        <v>233</v>
      </c>
      <c r="O14">
        <f t="shared" si="9"/>
        <v>-25000</v>
      </c>
      <c r="P14">
        <f t="shared" si="1"/>
        <v>1</v>
      </c>
      <c r="Q14">
        <f ca="1">IF(MATCH(N14,A:A,0)=_xlfn.MINIFS($Q$2:Q13,$N$2:N13,N14),MATCH(N14,INDIRECT("A"&amp;Q13+1&amp;":A1000000"),0)+Q13,MATCH(N14,A:A,0))</f>
        <v>2254</v>
      </c>
      <c r="R14" t="str">
        <f t="shared" ca="1" si="5"/>
        <v>94859828 VENEZIA                100,000</v>
      </c>
      <c r="S14" s="5">
        <f t="shared" ca="1" si="6"/>
        <v>94859827</v>
      </c>
      <c r="T14" t="str">
        <f t="shared" ca="1" si="7"/>
        <v xml:space="preserve">VENEZIA               </v>
      </c>
      <c r="U14" s="8">
        <f t="shared" ca="1" si="8"/>
        <v>100000</v>
      </c>
    </row>
    <row r="15" spans="1:21">
      <c r="A15" s="5" t="s">
        <v>4</v>
      </c>
      <c r="H15" s="5" t="s">
        <v>58</v>
      </c>
      <c r="I15" s="5">
        <f t="shared" si="2"/>
        <v>18280942</v>
      </c>
      <c r="J15" t="str">
        <f t="shared" si="3"/>
        <v xml:space="preserve">CHIC GIRL              </v>
      </c>
      <c r="K15" s="8">
        <f t="shared" si="4"/>
        <v>77940</v>
      </c>
      <c r="L15">
        <f t="shared" ca="1" si="0"/>
        <v>1</v>
      </c>
      <c r="N15" s="5" t="s">
        <v>233</v>
      </c>
      <c r="O15">
        <f t="shared" si="9"/>
        <v>-25000</v>
      </c>
      <c r="P15">
        <f t="shared" si="1"/>
        <v>1</v>
      </c>
      <c r="Q15">
        <f ca="1">IF(MATCH(N15,A:A,0)=_xlfn.MINIFS($Q$2:Q14,$N$2:N14,N15),MATCH(N15,INDIRECT("A"&amp;Q14+1&amp;":A1000000"),0)+Q14,MATCH(N15,A:A,0))</f>
        <v>3045</v>
      </c>
      <c r="R15" t="str">
        <f t="shared" ca="1" si="5"/>
        <v>94859828 VENEZIA                100,000</v>
      </c>
      <c r="S15" s="5">
        <f t="shared" ca="1" si="6"/>
        <v>94859827</v>
      </c>
      <c r="T15" t="str">
        <f t="shared" ca="1" si="7"/>
        <v xml:space="preserve">VENEZIA               </v>
      </c>
      <c r="U15" s="8">
        <f t="shared" ca="1" si="8"/>
        <v>100000</v>
      </c>
    </row>
    <row r="16" spans="1:21">
      <c r="A16" s="5" t="s">
        <v>5</v>
      </c>
      <c r="H16" s="5" t="s">
        <v>58</v>
      </c>
      <c r="I16" s="5">
        <f t="shared" si="2"/>
        <v>18280942</v>
      </c>
      <c r="J16" t="str">
        <f t="shared" si="3"/>
        <v xml:space="preserve">CHIC GIRL              </v>
      </c>
      <c r="K16" s="8">
        <f t="shared" si="4"/>
        <v>77940</v>
      </c>
      <c r="L16">
        <f t="shared" ca="1" si="0"/>
        <v>1</v>
      </c>
      <c r="N16" s="5" t="s">
        <v>283</v>
      </c>
      <c r="O16">
        <f t="shared" si="9"/>
        <v>-30000</v>
      </c>
      <c r="P16">
        <f t="shared" si="1"/>
        <v>1</v>
      </c>
      <c r="Q16">
        <f ca="1">IF(MATCH(N16,A:A,0)=_xlfn.MINIFS($Q$2:Q15,$N$2:N15,N16),MATCH(N16,INDIRECT("A"&amp;Q15+1&amp;":A1000000"),0)+Q15,MATCH(N16,A:A,0))</f>
        <v>2916</v>
      </c>
      <c r="R16" t="str">
        <f t="shared" ca="1" si="5"/>
        <v>94859828 VENEZIA                120,000</v>
      </c>
      <c r="S16" s="5">
        <f t="shared" ca="1" si="6"/>
        <v>94859827</v>
      </c>
      <c r="T16" t="str">
        <f t="shared" ca="1" si="7"/>
        <v xml:space="preserve">VENEZIA               </v>
      </c>
      <c r="U16" s="8">
        <f t="shared" ca="1" si="8"/>
        <v>120000</v>
      </c>
    </row>
    <row r="17" spans="1:21">
      <c r="A17" s="5" t="s">
        <v>6</v>
      </c>
      <c r="H17" s="5" t="s">
        <v>203</v>
      </c>
      <c r="I17" s="5">
        <f t="shared" si="2"/>
        <v>18280942</v>
      </c>
      <c r="J17" t="str">
        <f t="shared" si="3"/>
        <v xml:space="preserve">CHIC GIRL              </v>
      </c>
      <c r="K17" s="8">
        <f t="shared" si="4"/>
        <v>98940</v>
      </c>
      <c r="L17">
        <f t="shared" ca="1" si="0"/>
        <v>1</v>
      </c>
      <c r="N17" s="5" t="s">
        <v>283</v>
      </c>
      <c r="O17">
        <f t="shared" si="9"/>
        <v>-30000</v>
      </c>
      <c r="P17">
        <f t="shared" si="1"/>
        <v>1</v>
      </c>
      <c r="Q17">
        <f ca="1">IF(MATCH(N17,A:A,0)=_xlfn.MINIFS($Q$2:Q16,$N$2:N16,N17),MATCH(N17,INDIRECT("A"&amp;Q16+1&amp;":A1000000"),0)+Q16,MATCH(N17,A:A,0))</f>
        <v>3201</v>
      </c>
      <c r="R17" t="str">
        <f t="shared" ca="1" si="5"/>
        <v>94859828 VENEZIA                120,000</v>
      </c>
      <c r="S17" s="5">
        <f t="shared" ca="1" si="6"/>
        <v>94859827</v>
      </c>
      <c r="T17" t="str">
        <f t="shared" ca="1" si="7"/>
        <v xml:space="preserve">VENEZIA               </v>
      </c>
      <c r="U17" s="8">
        <f t="shared" ca="1" si="8"/>
        <v>120000</v>
      </c>
    </row>
    <row r="18" spans="1:21">
      <c r="A18" s="5" t="s">
        <v>7</v>
      </c>
      <c r="H18" s="5" t="s">
        <v>374</v>
      </c>
      <c r="I18" s="5">
        <f t="shared" si="2"/>
        <v>18708561</v>
      </c>
      <c r="J18" t="str">
        <f t="shared" si="3"/>
        <v xml:space="preserve">BATH TOWEL JACQ PD 3   </v>
      </c>
      <c r="K18" s="8">
        <f t="shared" si="4"/>
        <v>79933</v>
      </c>
      <c r="L18">
        <f t="shared" ca="1" si="0"/>
        <v>1</v>
      </c>
      <c r="N18" s="5" t="s">
        <v>181</v>
      </c>
      <c r="O18">
        <f t="shared" si="9"/>
        <v>-37500</v>
      </c>
      <c r="P18">
        <f t="shared" si="1"/>
        <v>1</v>
      </c>
      <c r="Q18">
        <f ca="1">IF(MATCH(N18,A:A,0)=_xlfn.MINIFS($Q$2:Q17,$N$2:N17,N18),MATCH(N18,INDIRECT("A"&amp;Q17+1&amp;":A1000000"),0)+Q17,MATCH(N18,A:A,0))</f>
        <v>1582</v>
      </c>
      <c r="R18" t="str">
        <f t="shared" ca="1" si="5"/>
        <v>94833515 UOMO                   150,000</v>
      </c>
      <c r="S18" s="5">
        <f t="shared" ca="1" si="6"/>
        <v>94833514</v>
      </c>
      <c r="T18" t="str">
        <f t="shared" ca="1" si="7"/>
        <v xml:space="preserve">UOMO                  </v>
      </c>
      <c r="U18" s="8">
        <f t="shared" ca="1" si="8"/>
        <v>150000</v>
      </c>
    </row>
    <row r="19" spans="1:21">
      <c r="A19" s="5" t="s">
        <v>6</v>
      </c>
      <c r="H19" s="5" t="s">
        <v>372</v>
      </c>
      <c r="I19" s="5">
        <f t="shared" si="2"/>
        <v>18708570</v>
      </c>
      <c r="J19" t="str">
        <f t="shared" si="3"/>
        <v xml:space="preserve">BATH TOWEL JACQ PD 3   </v>
      </c>
      <c r="K19" s="8">
        <f t="shared" si="4"/>
        <v>79933</v>
      </c>
      <c r="L19">
        <f t="shared" ca="1" si="0"/>
        <v>1</v>
      </c>
      <c r="N19" s="5" t="s">
        <v>89</v>
      </c>
      <c r="O19">
        <f t="shared" si="9"/>
        <v>-45000</v>
      </c>
      <c r="P19">
        <f t="shared" si="1"/>
        <v>1</v>
      </c>
      <c r="Q19">
        <f ca="1">IF(MATCH(N19,A:A,0)=_xlfn.MINIFS($Q$2:Q18,$N$2:N18,N19),MATCH(N19,INDIRECT("A"&amp;Q18+1&amp;":A1000000"),0)+Q18,MATCH(N19,A:A,0))</f>
        <v>425</v>
      </c>
      <c r="R19" t="str">
        <f t="shared" ca="1" si="5"/>
        <v>94859828 VENEZIA                180,000</v>
      </c>
      <c r="S19" s="5">
        <f t="shared" ca="1" si="6"/>
        <v>94859827</v>
      </c>
      <c r="T19" t="str">
        <f t="shared" ca="1" si="7"/>
        <v xml:space="preserve">VENEZIA               </v>
      </c>
      <c r="U19" s="8">
        <f t="shared" ca="1" si="8"/>
        <v>180000</v>
      </c>
    </row>
    <row r="20" spans="1:21">
      <c r="A20" s="5" t="s">
        <v>10</v>
      </c>
      <c r="H20" s="5" t="s">
        <v>376</v>
      </c>
      <c r="I20" s="5">
        <f t="shared" si="2"/>
        <v>93024800</v>
      </c>
      <c r="J20" t="str">
        <f t="shared" si="3"/>
        <v xml:space="preserve">DONASI                      </v>
      </c>
      <c r="K20" s="8">
        <f t="shared" si="4"/>
        <v>1</v>
      </c>
      <c r="L20">
        <f t="shared" ca="1" si="0"/>
        <v>1</v>
      </c>
      <c r="N20" s="5" t="s">
        <v>89</v>
      </c>
      <c r="O20">
        <f t="shared" si="9"/>
        <v>-45000</v>
      </c>
      <c r="P20">
        <f t="shared" si="1"/>
        <v>1</v>
      </c>
      <c r="Q20">
        <f ca="1">IF(MATCH(N20,A:A,0)=_xlfn.MINIFS($Q$2:Q19,$N$2:N19,N20),MATCH(N20,INDIRECT("A"&amp;Q19+1&amp;":A1000000"),0)+Q19,MATCH(N20,A:A,0))</f>
        <v>909</v>
      </c>
      <c r="R20" t="str">
        <f t="shared" ca="1" si="5"/>
        <v>94859828 VENEZIA                180,000</v>
      </c>
      <c r="S20" s="5">
        <f t="shared" ca="1" si="6"/>
        <v>94859827</v>
      </c>
      <c r="T20" t="str">
        <f t="shared" ca="1" si="7"/>
        <v xml:space="preserve">VENEZIA               </v>
      </c>
      <c r="U20" s="8">
        <f t="shared" ca="1" si="8"/>
        <v>180000</v>
      </c>
    </row>
    <row r="21" spans="1:21">
      <c r="A21" s="5" t="s">
        <v>11</v>
      </c>
      <c r="H21" s="5" t="s">
        <v>125</v>
      </c>
      <c r="I21" s="5">
        <f t="shared" si="2"/>
        <v>93024800</v>
      </c>
      <c r="J21" t="str">
        <f t="shared" si="3"/>
        <v xml:space="preserve">DONASI                     </v>
      </c>
      <c r="K21" s="8">
        <f t="shared" si="4"/>
        <v>35</v>
      </c>
      <c r="L21">
        <f t="shared" ca="1" si="0"/>
        <v>1</v>
      </c>
      <c r="N21" s="5" t="s">
        <v>89</v>
      </c>
      <c r="O21">
        <f t="shared" si="9"/>
        <v>-45000</v>
      </c>
      <c r="P21">
        <f t="shared" si="1"/>
        <v>1</v>
      </c>
      <c r="Q21">
        <f ca="1">IF(MATCH(N21,A:A,0)=_xlfn.MINIFS($Q$2:Q20,$N$2:N20,N21),MATCH(N21,INDIRECT("A"&amp;Q20+1&amp;":A1000000"),0)+Q20,MATCH(N21,A:A,0))</f>
        <v>2018</v>
      </c>
      <c r="R21" t="str">
        <f t="shared" ca="1" si="5"/>
        <v>94859828 VENEZIA                180,000</v>
      </c>
      <c r="S21" s="5">
        <f t="shared" ca="1" si="6"/>
        <v>94859827</v>
      </c>
      <c r="T21" t="str">
        <f t="shared" ca="1" si="7"/>
        <v xml:space="preserve">VENEZIA               </v>
      </c>
      <c r="U21" s="8">
        <f t="shared" ca="1" si="8"/>
        <v>180000</v>
      </c>
    </row>
    <row r="22" spans="1:21">
      <c r="A22" s="6"/>
      <c r="H22" s="5" t="s">
        <v>165</v>
      </c>
      <c r="I22" s="5">
        <f t="shared" si="2"/>
        <v>93024800</v>
      </c>
      <c r="J22" t="str">
        <f t="shared" si="3"/>
        <v xml:space="preserve">DONASI                     </v>
      </c>
      <c r="K22" s="8">
        <f t="shared" si="4"/>
        <v>40</v>
      </c>
      <c r="L22">
        <f t="shared" ca="1" si="0"/>
        <v>1</v>
      </c>
      <c r="N22" s="5" t="s">
        <v>89</v>
      </c>
      <c r="O22">
        <f t="shared" si="9"/>
        <v>-45000</v>
      </c>
      <c r="P22">
        <f t="shared" si="1"/>
        <v>1</v>
      </c>
      <c r="Q22">
        <f ca="1">IF(MATCH(N22,A:A,0)=_xlfn.MINIFS($Q$2:Q21,$N$2:N21,N22),MATCH(N22,INDIRECT("A"&amp;Q21+1&amp;":A1000000"),0)+Q21,MATCH(N22,A:A,0))</f>
        <v>2479</v>
      </c>
      <c r="R22" t="str">
        <f t="shared" ca="1" si="5"/>
        <v>94859828 VENEZIA                180,000</v>
      </c>
      <c r="S22" s="5">
        <f t="shared" ca="1" si="6"/>
        <v>94859827</v>
      </c>
      <c r="T22" t="str">
        <f t="shared" ca="1" si="7"/>
        <v xml:space="preserve">VENEZIA               </v>
      </c>
      <c r="U22" s="8">
        <f t="shared" ca="1" si="8"/>
        <v>180000</v>
      </c>
    </row>
    <row r="23" spans="1:21">
      <c r="A23" s="5" t="s">
        <v>12</v>
      </c>
      <c r="H23" s="5" t="s">
        <v>165</v>
      </c>
      <c r="I23" s="5">
        <f t="shared" si="2"/>
        <v>93024800</v>
      </c>
      <c r="J23" t="str">
        <f t="shared" si="3"/>
        <v xml:space="preserve">DONASI                     </v>
      </c>
      <c r="K23" s="8">
        <f t="shared" si="4"/>
        <v>40</v>
      </c>
      <c r="L23">
        <f t="shared" ca="1" si="0"/>
        <v>1</v>
      </c>
      <c r="N23" s="5" t="s">
        <v>89</v>
      </c>
      <c r="O23">
        <f t="shared" si="9"/>
        <v>-45000</v>
      </c>
      <c r="P23">
        <f t="shared" si="1"/>
        <v>1</v>
      </c>
      <c r="Q23">
        <f ca="1">IF(MATCH(N23,A:A,0)=_xlfn.MINIFS($Q$2:Q22,$N$2:N22,N23),MATCH(N23,INDIRECT("A"&amp;Q22+1&amp;":A1000000"),0)+Q22,MATCH(N23,A:A,0))</f>
        <v>2551</v>
      </c>
      <c r="R23" t="str">
        <f t="shared" ca="1" si="5"/>
        <v>94859828 VENEZIA                180,000</v>
      </c>
      <c r="S23" s="5">
        <f t="shared" ca="1" si="6"/>
        <v>94859827</v>
      </c>
      <c r="T23" t="str">
        <f t="shared" ca="1" si="7"/>
        <v xml:space="preserve">VENEZIA               </v>
      </c>
      <c r="U23" s="8">
        <f t="shared" ca="1" si="8"/>
        <v>180000</v>
      </c>
    </row>
    <row r="24" spans="1:21">
      <c r="A24" s="5" t="s">
        <v>13</v>
      </c>
      <c r="H24" s="5" t="s">
        <v>152</v>
      </c>
      <c r="I24" s="5">
        <f t="shared" si="2"/>
        <v>93024800</v>
      </c>
      <c r="J24" t="str">
        <f t="shared" si="3"/>
        <v xml:space="preserve">DONASI                     </v>
      </c>
      <c r="K24" s="8">
        <f t="shared" si="4"/>
        <v>50</v>
      </c>
      <c r="L24">
        <f t="shared" ca="1" si="0"/>
        <v>1</v>
      </c>
      <c r="N24" s="5" t="s">
        <v>89</v>
      </c>
      <c r="O24">
        <f t="shared" si="9"/>
        <v>-45000</v>
      </c>
      <c r="P24">
        <f t="shared" si="1"/>
        <v>1</v>
      </c>
      <c r="Q24">
        <f ca="1">IF(MATCH(N24,A:A,0)=_xlfn.MINIFS($Q$2:Q23,$N$2:N23,N24),MATCH(N24,INDIRECT("A"&amp;Q23+1&amp;":A1000000"),0)+Q23,MATCH(N24,A:A,0))</f>
        <v>3828</v>
      </c>
      <c r="R24" t="str">
        <f t="shared" ca="1" si="5"/>
        <v>94859828 VENEZIA                180,000</v>
      </c>
      <c r="S24" s="5">
        <f t="shared" ca="1" si="6"/>
        <v>94859827</v>
      </c>
      <c r="T24" t="str">
        <f t="shared" ca="1" si="7"/>
        <v xml:space="preserve">VENEZIA               </v>
      </c>
      <c r="U24" s="8">
        <f t="shared" ca="1" si="8"/>
        <v>180000</v>
      </c>
    </row>
    <row r="25" spans="1:21">
      <c r="A25" s="5" t="s">
        <v>14</v>
      </c>
      <c r="H25" s="5" t="s">
        <v>152</v>
      </c>
      <c r="I25" s="5">
        <f t="shared" si="2"/>
        <v>93024800</v>
      </c>
      <c r="J25" t="str">
        <f t="shared" si="3"/>
        <v xml:space="preserve">DONASI                     </v>
      </c>
      <c r="K25" s="8">
        <f t="shared" si="4"/>
        <v>50</v>
      </c>
      <c r="L25">
        <f t="shared" ca="1" si="0"/>
        <v>1</v>
      </c>
      <c r="N25" s="5" t="s">
        <v>89</v>
      </c>
      <c r="O25">
        <f t="shared" si="9"/>
        <v>-45000</v>
      </c>
      <c r="P25">
        <f t="shared" si="1"/>
        <v>1</v>
      </c>
      <c r="Q25">
        <f ca="1">IF(MATCH(N25,A:A,0)=_xlfn.MINIFS($Q$2:Q24,$N$2:N24,N25),MATCH(N25,INDIRECT("A"&amp;Q24+1&amp;":A1000000"),0)+Q24,MATCH(N25,A:A,0))</f>
        <v>3900</v>
      </c>
      <c r="R25" t="str">
        <f t="shared" ca="1" si="5"/>
        <v>94859828 VENEZIA                180,000</v>
      </c>
      <c r="S25" s="5">
        <f t="shared" ca="1" si="6"/>
        <v>94859827</v>
      </c>
      <c r="T25" t="str">
        <f t="shared" ca="1" si="7"/>
        <v xml:space="preserve">VENEZIA               </v>
      </c>
      <c r="U25" s="8">
        <f t="shared" ca="1" si="8"/>
        <v>180000</v>
      </c>
    </row>
    <row r="26" spans="1:21">
      <c r="A26" s="5" t="s">
        <v>15</v>
      </c>
      <c r="H26" s="5" t="s">
        <v>152</v>
      </c>
      <c r="I26" s="5">
        <f t="shared" si="2"/>
        <v>93024800</v>
      </c>
      <c r="J26" t="str">
        <f t="shared" si="3"/>
        <v xml:space="preserve">DONASI                     </v>
      </c>
      <c r="K26" s="8">
        <f t="shared" si="4"/>
        <v>50</v>
      </c>
      <c r="L26">
        <f t="shared" ca="1" si="0"/>
        <v>1</v>
      </c>
      <c r="N26" s="5" t="s">
        <v>295</v>
      </c>
      <c r="O26">
        <f t="shared" si="9"/>
        <v>-53970</v>
      </c>
      <c r="P26">
        <f t="shared" si="1"/>
        <v>1</v>
      </c>
      <c r="Q26">
        <f ca="1">IF(MATCH(N26,A:A,0)=_xlfn.MINIFS($Q$2:Q25,$N$2:N25,N26),MATCH(N26,INDIRECT("A"&amp;Q25+1&amp;":A1000000"),0)+Q25,MATCH(N26,A:A,0))</f>
        <v>3040</v>
      </c>
      <c r="R26" t="str">
        <f t="shared" ca="1" si="5"/>
        <v>94859711 EPRISE                 125,930</v>
      </c>
      <c r="S26" s="5">
        <f t="shared" ca="1" si="6"/>
        <v>94859710</v>
      </c>
      <c r="T26" t="str">
        <f t="shared" ca="1" si="7"/>
        <v xml:space="preserve">EPRISE                </v>
      </c>
      <c r="U26" s="8">
        <f t="shared" ca="1" si="8"/>
        <v>125930</v>
      </c>
    </row>
    <row r="27" spans="1:21">
      <c r="A27" s="5" t="s">
        <v>6</v>
      </c>
      <c r="H27" s="5" t="s">
        <v>207</v>
      </c>
      <c r="I27" s="5">
        <f t="shared" si="2"/>
        <v>93024800</v>
      </c>
      <c r="J27" t="str">
        <f t="shared" si="3"/>
        <v xml:space="preserve">DONASI                     </v>
      </c>
      <c r="K27" s="8">
        <f t="shared" si="4"/>
        <v>60</v>
      </c>
      <c r="L27">
        <f t="shared" ca="1" si="0"/>
        <v>1</v>
      </c>
      <c r="N27" s="5" t="s">
        <v>160</v>
      </c>
      <c r="O27">
        <f t="shared" si="9"/>
        <v>-59970</v>
      </c>
      <c r="P27">
        <f t="shared" si="1"/>
        <v>1</v>
      </c>
      <c r="Q27">
        <f ca="1">IF(MATCH(N27,A:A,0)=_xlfn.MINIFS($Q$2:Q26,$N$2:N26,N27),MATCH(N27,INDIRECT("A"&amp;Q26+1&amp;":A1000000"),0)+Q26,MATCH(N27,A:A,0))</f>
        <v>1452</v>
      </c>
      <c r="R27" t="str">
        <f t="shared" ca="1" si="5"/>
        <v>94859702 EPRISE                 139,930</v>
      </c>
      <c r="S27" s="5">
        <f t="shared" ca="1" si="6"/>
        <v>94859701</v>
      </c>
      <c r="T27" t="str">
        <f t="shared" ca="1" si="7"/>
        <v xml:space="preserve">EPRISE                </v>
      </c>
      <c r="U27" s="8">
        <f t="shared" ca="1" si="8"/>
        <v>139930</v>
      </c>
    </row>
    <row r="28" spans="1:21">
      <c r="A28" s="5" t="s">
        <v>16</v>
      </c>
      <c r="H28" s="5" t="s">
        <v>207</v>
      </c>
      <c r="I28" s="5">
        <f t="shared" si="2"/>
        <v>93024800</v>
      </c>
      <c r="J28" t="str">
        <f t="shared" si="3"/>
        <v xml:space="preserve">DONASI                     </v>
      </c>
      <c r="K28" s="8">
        <f t="shared" si="4"/>
        <v>60</v>
      </c>
      <c r="L28">
        <f t="shared" ca="1" si="0"/>
        <v>1</v>
      </c>
      <c r="N28" s="5" t="s">
        <v>164</v>
      </c>
      <c r="O28">
        <f t="shared" si="9"/>
        <v>-61470</v>
      </c>
      <c r="P28">
        <f t="shared" si="1"/>
        <v>1</v>
      </c>
      <c r="Q28">
        <f ca="1">IF(MATCH(N28,A:A,0)=_xlfn.MINIFS($Q$2:Q27,$N$2:N27,N28),MATCH(N28,INDIRECT("A"&amp;Q27+1&amp;":A1000000"),0)+Q27,MATCH(N28,A:A,0))</f>
        <v>1456</v>
      </c>
      <c r="R28" t="str">
        <f t="shared" ca="1" si="5"/>
        <v>94859702 EPRISE                 143,430</v>
      </c>
      <c r="S28" s="5">
        <f t="shared" ca="1" si="6"/>
        <v>94859701</v>
      </c>
      <c r="T28" t="str">
        <f t="shared" ca="1" si="7"/>
        <v xml:space="preserve">EPRISE                </v>
      </c>
      <c r="U28" s="8">
        <f t="shared" ca="1" si="8"/>
        <v>143430</v>
      </c>
    </row>
    <row r="29" spans="1:21">
      <c r="A29" s="5" t="s">
        <v>17</v>
      </c>
      <c r="H29" s="5" t="s">
        <v>174</v>
      </c>
      <c r="I29" s="5">
        <f t="shared" si="2"/>
        <v>93024800</v>
      </c>
      <c r="J29" t="str">
        <f t="shared" si="3"/>
        <v xml:space="preserve">DONASI                     </v>
      </c>
      <c r="K29" s="8">
        <f t="shared" si="4"/>
        <v>80</v>
      </c>
      <c r="L29">
        <f t="shared" ca="1" si="0"/>
        <v>1</v>
      </c>
      <c r="N29" s="5" t="s">
        <v>164</v>
      </c>
      <c r="O29">
        <f t="shared" si="9"/>
        <v>-61470</v>
      </c>
      <c r="P29">
        <f t="shared" si="1"/>
        <v>1</v>
      </c>
      <c r="Q29">
        <f ca="1">IF(MATCH(N29,A:A,0)=_xlfn.MINIFS($Q$2:Q28,$N$2:N28,N29),MATCH(N29,INDIRECT("A"&amp;Q28+1&amp;":A1000000"),0)+Q28,MATCH(N29,A:A,0))</f>
        <v>3036</v>
      </c>
      <c r="R29" t="str">
        <f t="shared" ca="1" si="5"/>
        <v>94859711 EPRISE                 143,430</v>
      </c>
      <c r="S29" s="5">
        <f t="shared" ca="1" si="6"/>
        <v>94859710</v>
      </c>
      <c r="T29" t="str">
        <f t="shared" ca="1" si="7"/>
        <v xml:space="preserve">EPRISE                </v>
      </c>
      <c r="U29" s="8">
        <f t="shared" ca="1" si="8"/>
        <v>143430</v>
      </c>
    </row>
    <row r="30" spans="1:21">
      <c r="A30" s="6"/>
      <c r="H30" s="5" t="s">
        <v>145</v>
      </c>
      <c r="I30" s="5">
        <f t="shared" si="2"/>
        <v>93024800</v>
      </c>
      <c r="J30" t="str">
        <f t="shared" si="3"/>
        <v xml:space="preserve">DONASI                     </v>
      </c>
      <c r="K30" s="8">
        <f t="shared" si="4"/>
        <v>99</v>
      </c>
      <c r="L30">
        <f t="shared" ca="1" si="0"/>
        <v>1</v>
      </c>
      <c r="N30" s="5" t="s">
        <v>294</v>
      </c>
      <c r="O30">
        <f t="shared" si="9"/>
        <v>-179900</v>
      </c>
      <c r="P30">
        <f t="shared" si="1"/>
        <v>1</v>
      </c>
      <c r="Q30">
        <f ca="1">IF(MATCH(N30,A:A,0)=_xlfn.MINIFS($Q$2:Q29,$N$2:N29,N30),MATCH(N30,INDIRECT("A"&amp;Q29+1&amp;":A1000000"),0)+Q29,MATCH(N30,A:A,0))</f>
        <v>3039</v>
      </c>
      <c r="R30" t="str">
        <f t="shared" ca="1" si="5"/>
        <v>94859711 EPRISE                 125,930</v>
      </c>
      <c r="S30" s="5">
        <f t="shared" ca="1" si="6"/>
        <v>94859710</v>
      </c>
      <c r="T30" t="str">
        <f t="shared" ca="1" si="7"/>
        <v xml:space="preserve">EPRISE                </v>
      </c>
      <c r="U30" s="8">
        <f t="shared" ca="1" si="8"/>
        <v>125930</v>
      </c>
    </row>
    <row r="31" spans="1:21">
      <c r="A31" s="5" t="s">
        <v>18</v>
      </c>
      <c r="H31" s="5" t="s">
        <v>145</v>
      </c>
      <c r="I31" s="5">
        <f t="shared" si="2"/>
        <v>93024800</v>
      </c>
      <c r="J31" t="str">
        <f t="shared" si="3"/>
        <v xml:space="preserve">DONASI                     </v>
      </c>
      <c r="K31" s="8">
        <f t="shared" si="4"/>
        <v>99</v>
      </c>
      <c r="L31">
        <f t="shared" ca="1" si="0"/>
        <v>1</v>
      </c>
      <c r="N31" s="5" t="s">
        <v>291</v>
      </c>
      <c r="O31">
        <f t="shared" si="9"/>
        <v>-204900</v>
      </c>
      <c r="P31">
        <f t="shared" si="1"/>
        <v>1</v>
      </c>
      <c r="Q31">
        <f ca="1">IF(MATCH(N31,A:A,0)=_xlfn.MINIFS($Q$2:Q30,$N$2:N30,N31),MATCH(N31,INDIRECT("A"&amp;Q30+1&amp;":A1000000"),0)+Q30,MATCH(N31,A:A,0))</f>
        <v>3035</v>
      </c>
      <c r="R31" t="str">
        <f t="shared" ca="1" si="5"/>
        <v>94859711 EPRISE                 143,430</v>
      </c>
      <c r="S31" s="5">
        <f t="shared" ca="1" si="6"/>
        <v>94859710</v>
      </c>
      <c r="T31" t="str">
        <f t="shared" ca="1" si="7"/>
        <v xml:space="preserve">EPRISE                </v>
      </c>
      <c r="U31" s="8">
        <f t="shared" ca="1" si="8"/>
        <v>143430</v>
      </c>
    </row>
    <row r="32" spans="1:21">
      <c r="A32" s="7">
        <v>100000</v>
      </c>
      <c r="H32" s="5" t="s">
        <v>77</v>
      </c>
      <c r="I32" s="5">
        <f t="shared" si="2"/>
        <v>93025701</v>
      </c>
      <c r="J32" t="str">
        <f t="shared" si="3"/>
        <v xml:space="preserve">SB 45.5 NATAL               </v>
      </c>
      <c r="K32" s="8">
        <f t="shared" si="4"/>
        <v>0</v>
      </c>
      <c r="L32">
        <f t="shared" ca="1" si="0"/>
        <v>1</v>
      </c>
      <c r="N32" s="5" t="s">
        <v>60</v>
      </c>
      <c r="O32">
        <f t="shared" si="9"/>
        <v>-181860</v>
      </c>
      <c r="P32">
        <f t="shared" si="1"/>
        <v>1</v>
      </c>
      <c r="Q32">
        <f ca="1">IF(MATCH(N32,A:A,0)=_xlfn.MINIFS($Q$2:Q31,$N$2:N31,N32),MATCH(N32,INDIRECT("A"&amp;Q31+1&amp;":A1000000"),0)+Q31,MATCH(N32,A:A,0))</f>
        <v>165</v>
      </c>
      <c r="R32" t="str">
        <f t="shared" ca="1" si="5"/>
        <v>18280943 CHIC GIRL               77,940</v>
      </c>
      <c r="S32" s="5">
        <f t="shared" ca="1" si="6"/>
        <v>18280942</v>
      </c>
      <c r="T32" t="str">
        <f t="shared" ca="1" si="7"/>
        <v xml:space="preserve">CHIC GIRL              </v>
      </c>
      <c r="U32" s="8">
        <f t="shared" ca="1" si="8"/>
        <v>77940</v>
      </c>
    </row>
    <row r="33" spans="1:21">
      <c r="A33" s="6"/>
      <c r="H33" s="5" t="s">
        <v>77</v>
      </c>
      <c r="I33" s="5">
        <f t="shared" si="2"/>
        <v>93025701</v>
      </c>
      <c r="J33" t="str">
        <f t="shared" si="3"/>
        <v xml:space="preserve">SB 45.5 NATAL               </v>
      </c>
      <c r="K33" s="8">
        <f t="shared" si="4"/>
        <v>0</v>
      </c>
      <c r="L33">
        <f t="shared" ca="1" si="0"/>
        <v>1</v>
      </c>
      <c r="N33" s="5" t="s">
        <v>60</v>
      </c>
      <c r="O33">
        <f t="shared" si="9"/>
        <v>-181860</v>
      </c>
      <c r="P33">
        <f t="shared" si="1"/>
        <v>1</v>
      </c>
      <c r="Q33">
        <f ca="1">IF(MATCH(N33,A:A,0)=_xlfn.MINIFS($Q$2:Q32,$N$2:N32,N33),MATCH(N33,INDIRECT("A"&amp;Q32+1&amp;":A1000000"),0)+Q32,MATCH(N33,A:A,0))</f>
        <v>2740</v>
      </c>
      <c r="R33" t="str">
        <f t="shared" ca="1" si="5"/>
        <v>18280943 CHIC GIRL               77,940</v>
      </c>
      <c r="S33" s="5">
        <f t="shared" ca="1" si="6"/>
        <v>18280942</v>
      </c>
      <c r="T33" t="str">
        <f t="shared" ca="1" si="7"/>
        <v xml:space="preserve">CHIC GIRL              </v>
      </c>
      <c r="U33" s="8">
        <f t="shared" ca="1" si="8"/>
        <v>77940</v>
      </c>
    </row>
    <row r="34" spans="1:21">
      <c r="A34" s="5" t="s">
        <v>19</v>
      </c>
      <c r="H34" s="5" t="s">
        <v>103</v>
      </c>
      <c r="I34" s="5">
        <f t="shared" si="2"/>
        <v>93025783</v>
      </c>
      <c r="J34" t="str">
        <f t="shared" si="3"/>
        <v xml:space="preserve">SB SIZE 45.5                </v>
      </c>
      <c r="K34" s="8">
        <f t="shared" si="4"/>
        <v>0</v>
      </c>
      <c r="L34">
        <f t="shared" ref="L34:L65" ca="1" si="10">IFERROR((--LEFT(INDIRECT("A"&amp;MATCH(H34,A:A,0)+1),FIND("@",INDIRECT("A"&amp;MATCH(H34,A:A,0)+1))-1)),1)</f>
        <v>1</v>
      </c>
      <c r="N34" s="5" t="s">
        <v>205</v>
      </c>
      <c r="O34">
        <f t="shared" si="9"/>
        <v>-230860</v>
      </c>
      <c r="P34">
        <f t="shared" si="1"/>
        <v>1</v>
      </c>
      <c r="Q34">
        <f ca="1">IF(MATCH(N34,A:A,0)=_xlfn.MINIFS($Q$2:Q33,$N$2:N33,N34),MATCH(N34,INDIRECT("A"&amp;Q33+1&amp;":A1000000"),0)+Q33,MATCH(N34,A:A,0))</f>
        <v>1944</v>
      </c>
      <c r="R34" t="str">
        <f t="shared" ca="1" si="5"/>
        <v>18280943 CHIC GIRL               98,940</v>
      </c>
      <c r="S34" s="5">
        <f t="shared" ca="1" si="6"/>
        <v>18280942</v>
      </c>
      <c r="T34" t="str">
        <f t="shared" ca="1" si="7"/>
        <v xml:space="preserve">CHIC GIRL              </v>
      </c>
      <c r="U34" s="8">
        <f t="shared" ca="1" si="8"/>
        <v>98940</v>
      </c>
    </row>
    <row r="35" spans="1:21">
      <c r="A35" s="5" t="s">
        <v>20</v>
      </c>
      <c r="H35" s="5" t="s">
        <v>103</v>
      </c>
      <c r="I35" s="5">
        <f t="shared" si="2"/>
        <v>93025783</v>
      </c>
      <c r="J35" t="str">
        <f t="shared" si="3"/>
        <v xml:space="preserve">SB SIZE 45.5                </v>
      </c>
      <c r="K35" s="8">
        <f t="shared" si="4"/>
        <v>0</v>
      </c>
      <c r="L35">
        <f t="shared" ca="1" si="10"/>
        <v>1</v>
      </c>
      <c r="N35" s="5" t="s">
        <v>245</v>
      </c>
      <c r="O35">
        <f t="shared" si="9"/>
        <v>-16633</v>
      </c>
      <c r="P35">
        <f t="shared" si="1"/>
        <v>1</v>
      </c>
      <c r="Q35">
        <f ca="1">IF(MATCH(N35,A:A,0)=_xlfn.MINIFS($Q$2:Q34,$N$2:N34,N35),MATCH(N35,INDIRECT("A"&amp;Q34+1&amp;":A1000000"),0)+Q34,MATCH(N35,A:A,0))</f>
        <v>2373</v>
      </c>
      <c r="R35" t="str">
        <f t="shared" ca="1" si="5"/>
        <v>18141889 TRAVEL TOWEL DOBBY P    33,267</v>
      </c>
      <c r="S35" s="5">
        <f t="shared" ca="1" si="6"/>
        <v>18141888</v>
      </c>
      <c r="T35" t="str">
        <f t="shared" ca="1" si="7"/>
        <v xml:space="preserve">TRAVEL TOWEL DOBBY P   </v>
      </c>
      <c r="U35" s="8">
        <f t="shared" ca="1" si="8"/>
        <v>33267</v>
      </c>
    </row>
    <row r="36" spans="1:21">
      <c r="A36" s="5" t="s">
        <v>21</v>
      </c>
      <c r="H36" s="5" t="s">
        <v>103</v>
      </c>
      <c r="I36" s="5">
        <f t="shared" si="2"/>
        <v>93025783</v>
      </c>
      <c r="J36" t="str">
        <f t="shared" si="3"/>
        <v xml:space="preserve">SB SIZE 45.5                </v>
      </c>
      <c r="K36" s="8">
        <f t="shared" si="4"/>
        <v>0</v>
      </c>
      <c r="L36">
        <f t="shared" ca="1" si="10"/>
        <v>1</v>
      </c>
      <c r="N36" s="5" t="s">
        <v>245</v>
      </c>
      <c r="O36">
        <f t="shared" si="9"/>
        <v>-16633</v>
      </c>
      <c r="P36">
        <f t="shared" si="1"/>
        <v>1</v>
      </c>
      <c r="Q36">
        <f ca="1">IF(MATCH(N36,A:A,0)=_xlfn.MINIFS($Q$2:Q35,$N$2:N35,N36),MATCH(N36,INDIRECT("A"&amp;Q35+1&amp;":A1000000"),0)+Q35,MATCH(N36,A:A,0))</f>
        <v>2376</v>
      </c>
      <c r="R36" t="str">
        <f t="shared" ca="1" si="5"/>
        <v>18141898 TRAVEL TOWEL DOBBY P    33,267</v>
      </c>
      <c r="S36" s="5">
        <f t="shared" ca="1" si="6"/>
        <v>18141897</v>
      </c>
      <c r="T36" t="str">
        <f t="shared" ca="1" si="7"/>
        <v xml:space="preserve">TRAVEL TOWEL DOBBY P   </v>
      </c>
      <c r="U36" s="8">
        <f t="shared" ca="1" si="8"/>
        <v>33267</v>
      </c>
    </row>
    <row r="37" spans="1:21">
      <c r="A37" s="5" t="s">
        <v>22</v>
      </c>
      <c r="H37" s="5" t="s">
        <v>103</v>
      </c>
      <c r="I37" s="5">
        <f t="shared" si="2"/>
        <v>93025783</v>
      </c>
      <c r="J37" t="str">
        <f t="shared" si="3"/>
        <v xml:space="preserve">SB SIZE 45.5                </v>
      </c>
      <c r="K37" s="8">
        <f t="shared" si="4"/>
        <v>0</v>
      </c>
      <c r="L37">
        <f t="shared" ca="1" si="10"/>
        <v>1</v>
      </c>
      <c r="N37" s="5" t="s">
        <v>245</v>
      </c>
      <c r="O37">
        <f t="shared" si="9"/>
        <v>-16633</v>
      </c>
      <c r="P37">
        <f t="shared" si="1"/>
        <v>1</v>
      </c>
      <c r="Q37">
        <f ca="1">IF(MATCH(N37,A:A,0)=_xlfn.MINIFS($Q$2:Q36,$N$2:N36,N37),MATCH(N37,INDIRECT("A"&amp;Q36+1&amp;":A1000000"),0)+Q36,MATCH(N37,A:A,0))</f>
        <v>2379</v>
      </c>
      <c r="R37" t="str">
        <f t="shared" ca="1" si="5"/>
        <v>18141914 TRAVEL TOWEL DOBBY P    33,267</v>
      </c>
      <c r="S37" s="5">
        <f t="shared" ca="1" si="6"/>
        <v>18141913</v>
      </c>
      <c r="T37" t="str">
        <f t="shared" ca="1" si="7"/>
        <v xml:space="preserve">TRAVEL TOWEL DOBBY P   </v>
      </c>
      <c r="U37" s="8">
        <f t="shared" ca="1" si="8"/>
        <v>33267</v>
      </c>
    </row>
    <row r="38" spans="1:21">
      <c r="A38" s="5" t="s">
        <v>23</v>
      </c>
      <c r="H38" s="5" t="s">
        <v>103</v>
      </c>
      <c r="I38" s="5">
        <f t="shared" si="2"/>
        <v>93025783</v>
      </c>
      <c r="J38" t="str">
        <f t="shared" si="3"/>
        <v xml:space="preserve">SB SIZE 45.5                </v>
      </c>
      <c r="K38" s="8">
        <f t="shared" si="4"/>
        <v>0</v>
      </c>
      <c r="L38">
        <f t="shared" ca="1" si="10"/>
        <v>1</v>
      </c>
      <c r="N38" s="5" t="s">
        <v>274</v>
      </c>
      <c r="O38">
        <f t="shared" si="9"/>
        <v>-26600</v>
      </c>
      <c r="P38">
        <f t="shared" si="1"/>
        <v>1</v>
      </c>
      <c r="Q38">
        <f ca="1">IF(MATCH(N38,A:A,0)=_xlfn.MINIFS($Q$2:Q37,$N$2:N37,N38),MATCH(N38,INDIRECT("A"&amp;Q37+1&amp;":A1000000"),0)+Q37,MATCH(N38,A:A,0))</f>
        <v>2843</v>
      </c>
      <c r="R38" t="str">
        <f t="shared" ca="1" si="5"/>
        <v>18141067 BATH TOWEL DOBBY PD     53,300</v>
      </c>
      <c r="S38" s="5">
        <f t="shared" ca="1" si="6"/>
        <v>18141066</v>
      </c>
      <c r="T38" t="str">
        <f t="shared" ca="1" si="7"/>
        <v xml:space="preserve">BATH TOWEL DOBBY PD    </v>
      </c>
      <c r="U38" s="8">
        <f t="shared" ca="1" si="8"/>
        <v>53300</v>
      </c>
    </row>
    <row r="39" spans="1:21">
      <c r="A39" s="5" t="s">
        <v>24</v>
      </c>
      <c r="H39" s="5" t="s">
        <v>103</v>
      </c>
      <c r="I39" s="5">
        <f t="shared" si="2"/>
        <v>93025783</v>
      </c>
      <c r="J39" t="str">
        <f t="shared" si="3"/>
        <v xml:space="preserve">SB SIZE 45.5                </v>
      </c>
      <c r="K39" s="8">
        <f t="shared" si="4"/>
        <v>0</v>
      </c>
      <c r="L39">
        <f t="shared" ca="1" si="10"/>
        <v>1</v>
      </c>
      <c r="N39" s="5" t="s">
        <v>142</v>
      </c>
      <c r="O39">
        <f t="shared" si="9"/>
        <v>-26633</v>
      </c>
      <c r="P39">
        <f t="shared" si="1"/>
        <v>1</v>
      </c>
      <c r="Q39">
        <f ca="1">IF(MATCH(N39,A:A,0)=_xlfn.MINIFS($Q$2:Q38,$N$2:N38,N39),MATCH(N39,INDIRECT("A"&amp;Q38+1&amp;":A1000000"),0)+Q38,MATCH(N39,A:A,0))</f>
        <v>1305</v>
      </c>
      <c r="R39" t="str">
        <f t="shared" ca="1" si="5"/>
        <v>18141209 BATH TOWEL DOBBY PD     53,267S</v>
      </c>
      <c r="S39" s="5">
        <f t="shared" ca="1" si="6"/>
        <v>18141208</v>
      </c>
      <c r="T39" t="str">
        <f t="shared" ca="1" si="7"/>
        <v xml:space="preserve">BATH TOWEL DOBBY PD    </v>
      </c>
      <c r="U39" s="8">
        <f t="shared" ca="1" si="8"/>
        <v>53267</v>
      </c>
    </row>
    <row r="40" spans="1:21">
      <c r="A40" s="5" t="s">
        <v>25</v>
      </c>
      <c r="H40" s="5" t="s">
        <v>103</v>
      </c>
      <c r="I40" s="5">
        <f t="shared" si="2"/>
        <v>93025783</v>
      </c>
      <c r="J40" t="str">
        <f t="shared" si="3"/>
        <v xml:space="preserve">SB SIZE 45.5                </v>
      </c>
      <c r="K40" s="8">
        <f t="shared" si="4"/>
        <v>0</v>
      </c>
      <c r="L40">
        <f t="shared" ca="1" si="10"/>
        <v>1</v>
      </c>
      <c r="N40" s="5" t="s">
        <v>142</v>
      </c>
      <c r="O40">
        <f t="shared" si="9"/>
        <v>-26633</v>
      </c>
      <c r="P40">
        <f t="shared" si="1"/>
        <v>1</v>
      </c>
      <c r="Q40">
        <f ca="1">IF(MATCH(N40,A:A,0)=_xlfn.MINIFS($Q$2:Q39,$N$2:N39,N40),MATCH(N40,INDIRECT("A"&amp;Q39+1&amp;":A1000000"),0)+Q39,MATCH(N40,A:A,0))</f>
        <v>1308</v>
      </c>
      <c r="R40" t="str">
        <f t="shared" ca="1" si="5"/>
        <v>18141067 BATH TOWEL DOBBY PD     53,267S</v>
      </c>
      <c r="S40" s="5">
        <f t="shared" ca="1" si="6"/>
        <v>18141066</v>
      </c>
      <c r="T40" t="str">
        <f t="shared" ca="1" si="7"/>
        <v xml:space="preserve">BATH TOWEL DOBBY PD    </v>
      </c>
      <c r="U40" s="8">
        <f t="shared" ca="1" si="8"/>
        <v>53267</v>
      </c>
    </row>
    <row r="41" spans="1:21">
      <c r="A41" s="5" t="s">
        <v>26</v>
      </c>
      <c r="H41" s="5" t="s">
        <v>103</v>
      </c>
      <c r="I41" s="5">
        <f t="shared" si="2"/>
        <v>93025783</v>
      </c>
      <c r="J41" t="str">
        <f t="shared" si="3"/>
        <v xml:space="preserve">SB SIZE 45.5                </v>
      </c>
      <c r="K41" s="8">
        <f t="shared" si="4"/>
        <v>0</v>
      </c>
      <c r="L41">
        <f t="shared" ca="1" si="10"/>
        <v>1</v>
      </c>
      <c r="N41" s="5" t="s">
        <v>142</v>
      </c>
      <c r="O41">
        <f t="shared" si="9"/>
        <v>-26633</v>
      </c>
      <c r="P41">
        <f t="shared" si="1"/>
        <v>1</v>
      </c>
      <c r="Q41">
        <f ca="1">IF(MATCH(N41,A:A,0)=_xlfn.MINIFS($Q$2:Q40,$N$2:N40,N41),MATCH(N41,INDIRECT("A"&amp;Q40+1&amp;":A1000000"),0)+Q40,MATCH(N41,A:A,0))</f>
        <v>1311</v>
      </c>
      <c r="R41" t="str">
        <f t="shared" ca="1" si="5"/>
        <v>18141049 BATH TOWEL DOBBY PD     53,267S</v>
      </c>
      <c r="S41" s="5">
        <f t="shared" ca="1" si="6"/>
        <v>18141048</v>
      </c>
      <c r="T41" t="str">
        <f t="shared" ca="1" si="7"/>
        <v xml:space="preserve">BATH TOWEL DOBBY PD    </v>
      </c>
      <c r="U41" s="8">
        <f t="shared" ca="1" si="8"/>
        <v>53267</v>
      </c>
    </row>
    <row r="42" spans="1:21">
      <c r="A42" s="5" t="s">
        <v>27</v>
      </c>
      <c r="H42" s="5" t="s">
        <v>103</v>
      </c>
      <c r="I42" s="5">
        <f t="shared" si="2"/>
        <v>93025783</v>
      </c>
      <c r="J42" t="str">
        <f t="shared" si="3"/>
        <v xml:space="preserve">SB SIZE 45.5                </v>
      </c>
      <c r="K42" s="8">
        <f t="shared" si="4"/>
        <v>0</v>
      </c>
      <c r="L42">
        <f t="shared" ca="1" si="10"/>
        <v>1</v>
      </c>
      <c r="N42" s="5" t="s">
        <v>373</v>
      </c>
      <c r="O42">
        <f t="shared" si="9"/>
        <v>-39967</v>
      </c>
      <c r="P42">
        <f t="shared" si="1"/>
        <v>1</v>
      </c>
      <c r="Q42">
        <f ca="1">IF(MATCH(N42,A:A,0)=_xlfn.MINIFS($Q$2:Q41,$N$2:N41,N42),MATCH(N42,INDIRECT("A"&amp;Q41+1&amp;":A1000000"),0)+Q41,MATCH(N42,A:A,0))</f>
        <v>4088</v>
      </c>
      <c r="R42" t="str">
        <f t="shared" ca="1" si="5"/>
        <v>18708571 BATH TOWEL JACQ PD 3    79,933S</v>
      </c>
      <c r="S42" s="5">
        <f t="shared" ca="1" si="6"/>
        <v>18708570</v>
      </c>
      <c r="T42" t="str">
        <f t="shared" ca="1" si="7"/>
        <v xml:space="preserve">BATH TOWEL JACQ PD 3   </v>
      </c>
      <c r="U42" s="8">
        <f t="shared" ca="1" si="8"/>
        <v>79933</v>
      </c>
    </row>
    <row r="43" spans="1:21">
      <c r="A43" s="5" t="s">
        <v>6</v>
      </c>
      <c r="H43" s="5" t="s">
        <v>103</v>
      </c>
      <c r="I43" s="5">
        <f t="shared" si="2"/>
        <v>93025783</v>
      </c>
      <c r="J43" t="str">
        <f t="shared" si="3"/>
        <v xml:space="preserve">SB SIZE 45.5                </v>
      </c>
      <c r="K43" s="8">
        <f t="shared" si="4"/>
        <v>0</v>
      </c>
      <c r="L43">
        <f t="shared" ca="1" si="10"/>
        <v>1</v>
      </c>
      <c r="N43" s="5" t="s">
        <v>373</v>
      </c>
      <c r="O43">
        <f t="shared" si="9"/>
        <v>-39967</v>
      </c>
      <c r="P43">
        <f t="shared" si="1"/>
        <v>1</v>
      </c>
      <c r="Q43">
        <f ca="1">IF(MATCH(N43,A:A,0)=_xlfn.MINIFS($Q$2:Q42,$N$2:N42,N43),MATCH(N43,INDIRECT("A"&amp;Q42+1&amp;":A1000000"),0)+Q42,MATCH(N43,A:A,0))</f>
        <v>4091</v>
      </c>
      <c r="R43" t="str">
        <f t="shared" ca="1" si="5"/>
        <v>18708562 BATH TOWEL JACQ PD 3    79,933S</v>
      </c>
      <c r="S43" s="5">
        <f t="shared" ca="1" si="6"/>
        <v>18708561</v>
      </c>
      <c r="T43" t="str">
        <f t="shared" ca="1" si="7"/>
        <v xml:space="preserve">BATH TOWEL JACQ PD 3   </v>
      </c>
      <c r="U43" s="8">
        <f t="shared" ca="1" si="8"/>
        <v>79933</v>
      </c>
    </row>
    <row r="44" spans="1:21">
      <c r="A44" s="5" t="s">
        <v>28</v>
      </c>
      <c r="H44" s="5" t="s">
        <v>103</v>
      </c>
      <c r="I44" s="5">
        <f t="shared" si="2"/>
        <v>93025783</v>
      </c>
      <c r="J44" t="str">
        <f t="shared" si="3"/>
        <v xml:space="preserve">SB SIZE 45.5                </v>
      </c>
      <c r="K44" s="8">
        <f t="shared" si="4"/>
        <v>0</v>
      </c>
      <c r="L44">
        <f t="shared" ca="1" si="10"/>
        <v>1</v>
      </c>
      <c r="N44" s="5" t="s">
        <v>373</v>
      </c>
      <c r="O44">
        <f t="shared" si="9"/>
        <v>-39967</v>
      </c>
      <c r="P44">
        <f t="shared" si="1"/>
        <v>1</v>
      </c>
      <c r="Q44">
        <f ca="1">IF(MATCH(N44,A:A,0)=_xlfn.MINIFS($Q$2:Q43,$N$2:N43,N44),MATCH(N44,INDIRECT("A"&amp;Q43+1&amp;":A1000000"),0)+Q43,MATCH(N44,A:A,0))</f>
        <v>4094</v>
      </c>
      <c r="R44" t="str">
        <f t="shared" ca="1" si="5"/>
        <v>17899653 BATH TOWEL JACQ YD 4    79,933S</v>
      </c>
      <c r="S44" s="5">
        <f t="shared" ca="1" si="6"/>
        <v>17899652</v>
      </c>
      <c r="T44" t="str">
        <f t="shared" ca="1" si="7"/>
        <v xml:space="preserve">BATH TOWEL JACQ YD 4   </v>
      </c>
      <c r="U44" s="8">
        <f t="shared" ca="1" si="8"/>
        <v>79933</v>
      </c>
    </row>
    <row r="45" spans="1:21">
      <c r="A45" s="5" t="s">
        <v>29</v>
      </c>
      <c r="H45" s="5" t="s">
        <v>103</v>
      </c>
      <c r="I45" s="5">
        <f t="shared" si="2"/>
        <v>93025783</v>
      </c>
      <c r="J45" t="str">
        <f t="shared" si="3"/>
        <v xml:space="preserve">SB SIZE 45.5                </v>
      </c>
      <c r="K45" s="8">
        <f t="shared" si="4"/>
        <v>0</v>
      </c>
      <c r="L45">
        <f t="shared" ca="1" si="10"/>
        <v>1</v>
      </c>
      <c r="N45" s="5" t="s">
        <v>272</v>
      </c>
      <c r="O45">
        <f t="shared" si="9"/>
        <v>-53200</v>
      </c>
      <c r="P45">
        <f t="shared" si="1"/>
        <v>2</v>
      </c>
      <c r="Q45">
        <f ca="1">IF(MATCH(N45,A:A,0)=_xlfn.MINIFS($Q$2:Q44,$N$2:N44,N45),MATCH(N45,INDIRECT("A"&amp;Q44+1&amp;":A1000000"),0)+Q44,MATCH(N45,A:A,0))</f>
        <v>2840</v>
      </c>
      <c r="R45" t="str">
        <f t="shared" ca="1" si="5"/>
        <v>18141209 BATH TOWEL DOBBY PD    106,600</v>
      </c>
      <c r="S45" s="5">
        <f t="shared" ca="1" si="6"/>
        <v>18141208</v>
      </c>
      <c r="T45" t="str">
        <f t="shared" ca="1" si="7"/>
        <v xml:space="preserve">BATH TOWEL DOBBY PD   </v>
      </c>
      <c r="U45" s="8">
        <f t="shared" ca="1" si="8"/>
        <v>106600</v>
      </c>
    </row>
    <row r="46" spans="1:21">
      <c r="A46" s="6"/>
      <c r="H46" s="5" t="s">
        <v>103</v>
      </c>
      <c r="I46" s="5">
        <f t="shared" si="2"/>
        <v>93025783</v>
      </c>
      <c r="J46" t="str">
        <f t="shared" si="3"/>
        <v xml:space="preserve">SB SIZE 45.5                </v>
      </c>
      <c r="K46" s="8">
        <f t="shared" si="4"/>
        <v>0</v>
      </c>
      <c r="L46">
        <f t="shared" ca="1" si="10"/>
        <v>1</v>
      </c>
      <c r="N46" s="5" t="s">
        <v>14</v>
      </c>
      <c r="O46">
        <f t="shared" si="9"/>
        <v>-100000</v>
      </c>
      <c r="P46">
        <f t="shared" si="1"/>
        <v>2</v>
      </c>
      <c r="Q46">
        <f ca="1">IF(MATCH(N46,A:A,0)=_xlfn.MINIFS($Q$2:Q45,$N$2:N45,N46),MATCH(N46,INDIRECT("A"&amp;Q45+1&amp;":A1000000"),0)+Q45,MATCH(N46,A:A,0))</f>
        <v>25</v>
      </c>
      <c r="R46" t="str">
        <f t="shared" ca="1" si="5"/>
        <v>94757536 HIPO-FANT APP.         100,000</v>
      </c>
      <c r="S46" s="5">
        <f t="shared" ca="1" si="6"/>
        <v>94757535</v>
      </c>
      <c r="T46" t="str">
        <f t="shared" ca="1" si="7"/>
        <v xml:space="preserve">HIPO-FANT APP.        </v>
      </c>
      <c r="U46" s="8">
        <f t="shared" ca="1" si="8"/>
        <v>100000</v>
      </c>
    </row>
    <row r="47" spans="1:21">
      <c r="A47" s="6"/>
      <c r="H47" s="5" t="s">
        <v>103</v>
      </c>
      <c r="I47" s="5">
        <f t="shared" si="2"/>
        <v>93025783</v>
      </c>
      <c r="J47" t="str">
        <f t="shared" si="3"/>
        <v xml:space="preserve">SB SIZE 45.5                </v>
      </c>
      <c r="K47" s="8">
        <f t="shared" si="4"/>
        <v>0</v>
      </c>
      <c r="L47">
        <f t="shared" ca="1" si="10"/>
        <v>1</v>
      </c>
      <c r="N47" s="5" t="s">
        <v>14</v>
      </c>
      <c r="O47">
        <f t="shared" si="9"/>
        <v>-100000</v>
      </c>
      <c r="P47">
        <f t="shared" si="1"/>
        <v>2</v>
      </c>
      <c r="Q47">
        <f ca="1">IF(MATCH(N47,A:A,0)=_xlfn.MINIFS($Q$2:Q46,$N$2:N46,N47),MATCH(N47,INDIRECT("A"&amp;Q46+1&amp;":A1000000"),0)+Q46,MATCH(N47,A:A,0))</f>
        <v>770</v>
      </c>
      <c r="R47" t="str">
        <f t="shared" ca="1" si="5"/>
        <v>94757536 HIPO-FANT APP.         100,000</v>
      </c>
      <c r="S47" s="5">
        <f t="shared" ca="1" si="6"/>
        <v>94757535</v>
      </c>
      <c r="T47" t="str">
        <f t="shared" ca="1" si="7"/>
        <v xml:space="preserve">HIPO-FANT APP.        </v>
      </c>
      <c r="U47" s="8">
        <f t="shared" ca="1" si="8"/>
        <v>100000</v>
      </c>
    </row>
    <row r="48" spans="1:21">
      <c r="A48" s="5" t="s">
        <v>6</v>
      </c>
      <c r="H48" s="5" t="s">
        <v>103</v>
      </c>
      <c r="I48" s="5">
        <f t="shared" si="2"/>
        <v>93025783</v>
      </c>
      <c r="J48" t="str">
        <f t="shared" si="3"/>
        <v xml:space="preserve">SB SIZE 45.5                </v>
      </c>
      <c r="K48" s="8">
        <f t="shared" si="4"/>
        <v>0</v>
      </c>
      <c r="L48">
        <f t="shared" ca="1" si="10"/>
        <v>1</v>
      </c>
      <c r="N48" s="5" t="s">
        <v>159</v>
      </c>
      <c r="O48">
        <f t="shared" si="9"/>
        <v>-199900</v>
      </c>
      <c r="P48">
        <f t="shared" si="1"/>
        <v>1</v>
      </c>
      <c r="Q48">
        <f ca="1">IF(MATCH(N48,A:A,0)=_xlfn.MINIFS($Q$2:Q47,$N$2:N47,N48),MATCH(N48,INDIRECT("A"&amp;Q47+1&amp;":A1000000"),0)+Q47,MATCH(N48,A:A,0))</f>
        <v>1451</v>
      </c>
      <c r="R48" t="str">
        <f t="shared" ca="1" si="5"/>
        <v>94859702 EPRISE                 139,930</v>
      </c>
      <c r="S48" s="5">
        <f t="shared" ca="1" si="6"/>
        <v>94859701</v>
      </c>
      <c r="T48" t="str">
        <f t="shared" ca="1" si="7"/>
        <v xml:space="preserve">EPRISE                </v>
      </c>
      <c r="U48" s="8">
        <f t="shared" ca="1" si="8"/>
        <v>139930</v>
      </c>
    </row>
    <row r="49" spans="1:21">
      <c r="A49" s="5" t="s">
        <v>30</v>
      </c>
      <c r="H49" s="5" t="s">
        <v>103</v>
      </c>
      <c r="I49" s="5">
        <f t="shared" si="2"/>
        <v>93025783</v>
      </c>
      <c r="J49" t="str">
        <f t="shared" si="3"/>
        <v xml:space="preserve">SB SIZE 45.5                </v>
      </c>
      <c r="K49" s="8">
        <f t="shared" si="4"/>
        <v>0</v>
      </c>
      <c r="L49">
        <f t="shared" ca="1" si="10"/>
        <v>1</v>
      </c>
      <c r="N49" s="5" t="s">
        <v>163</v>
      </c>
      <c r="O49">
        <f t="shared" si="9"/>
        <v>-204900</v>
      </c>
      <c r="P49">
        <f t="shared" si="1"/>
        <v>1</v>
      </c>
      <c r="Q49">
        <f ca="1">IF(MATCH(N49,A:A,0)=_xlfn.MINIFS($Q$2:Q48,$N$2:N48,N49),MATCH(N49,INDIRECT("A"&amp;Q48+1&amp;":A1000000"),0)+Q48,MATCH(N49,A:A,0))</f>
        <v>1455</v>
      </c>
      <c r="R49" t="str">
        <f t="shared" ca="1" si="5"/>
        <v>94859702 EPRISE                 143,430</v>
      </c>
      <c r="S49" s="5">
        <f t="shared" ca="1" si="6"/>
        <v>94859701</v>
      </c>
      <c r="T49" t="str">
        <f t="shared" ca="1" si="7"/>
        <v xml:space="preserve">EPRISE                </v>
      </c>
      <c r="U49" s="8">
        <f t="shared" ca="1" si="8"/>
        <v>143430</v>
      </c>
    </row>
    <row r="50" spans="1:21">
      <c r="A50" s="6"/>
      <c r="H50" s="5" t="s">
        <v>103</v>
      </c>
      <c r="I50" s="5">
        <f t="shared" si="2"/>
        <v>93025783</v>
      </c>
      <c r="J50" t="str">
        <f t="shared" si="3"/>
        <v xml:space="preserve">SB SIZE 45.5                </v>
      </c>
      <c r="K50" s="8">
        <f t="shared" si="4"/>
        <v>0</v>
      </c>
      <c r="L50">
        <f t="shared" ca="1" si="10"/>
        <v>1</v>
      </c>
      <c r="O50" s="9">
        <f>SUM(O2:O49)</f>
        <v>-3481539</v>
      </c>
    </row>
    <row r="51" spans="1:21">
      <c r="A51" s="5" t="s">
        <v>31</v>
      </c>
      <c r="H51" s="5" t="s">
        <v>103</v>
      </c>
      <c r="I51" s="5">
        <f t="shared" si="2"/>
        <v>93025783</v>
      </c>
      <c r="J51" t="str">
        <f t="shared" si="3"/>
        <v xml:space="preserve">SB SIZE 45.5                </v>
      </c>
      <c r="K51" s="8">
        <f t="shared" si="4"/>
        <v>0</v>
      </c>
      <c r="L51">
        <f t="shared" ca="1" si="10"/>
        <v>1</v>
      </c>
    </row>
    <row r="52" spans="1:21">
      <c r="A52" s="5" t="s">
        <v>32</v>
      </c>
      <c r="H52" s="5" t="s">
        <v>103</v>
      </c>
      <c r="I52" s="5">
        <f t="shared" si="2"/>
        <v>93025783</v>
      </c>
      <c r="J52" t="str">
        <f t="shared" si="3"/>
        <v xml:space="preserve">SB SIZE 45.5                </v>
      </c>
      <c r="K52" s="8">
        <f t="shared" si="4"/>
        <v>0</v>
      </c>
      <c r="L52">
        <f t="shared" ca="1" si="10"/>
        <v>1</v>
      </c>
    </row>
    <row r="53" spans="1:21">
      <c r="A53" s="5" t="s">
        <v>33</v>
      </c>
      <c r="H53" s="5" t="s">
        <v>103</v>
      </c>
      <c r="I53" s="5">
        <f t="shared" si="2"/>
        <v>93025783</v>
      </c>
      <c r="J53" t="str">
        <f t="shared" si="3"/>
        <v xml:space="preserve">SB SIZE 45.5                </v>
      </c>
      <c r="K53" s="8">
        <f t="shared" si="4"/>
        <v>0</v>
      </c>
      <c r="L53">
        <f t="shared" ca="1" si="10"/>
        <v>1</v>
      </c>
    </row>
    <row r="54" spans="1:21">
      <c r="A54" s="5" t="s">
        <v>34</v>
      </c>
      <c r="H54" s="5" t="s">
        <v>103</v>
      </c>
      <c r="I54" s="5">
        <f t="shared" si="2"/>
        <v>93025783</v>
      </c>
      <c r="J54" t="str">
        <f t="shared" si="3"/>
        <v xml:space="preserve">SB SIZE 45.5                </v>
      </c>
      <c r="K54" s="8">
        <f t="shared" si="4"/>
        <v>0</v>
      </c>
      <c r="L54">
        <f t="shared" ca="1" si="10"/>
        <v>1</v>
      </c>
    </row>
    <row r="55" spans="1:21">
      <c r="A55" s="5" t="s">
        <v>35</v>
      </c>
      <c r="H55" s="5" t="s">
        <v>103</v>
      </c>
      <c r="I55" s="5">
        <f t="shared" si="2"/>
        <v>93025783</v>
      </c>
      <c r="J55" t="str">
        <f t="shared" si="3"/>
        <v xml:space="preserve">SB SIZE 45.5                </v>
      </c>
      <c r="K55" s="8">
        <f t="shared" si="4"/>
        <v>0</v>
      </c>
      <c r="L55">
        <f t="shared" ca="1" si="10"/>
        <v>1</v>
      </c>
    </row>
    <row r="56" spans="1:21">
      <c r="A56" s="5" t="s">
        <v>36</v>
      </c>
      <c r="H56" s="5" t="s">
        <v>103</v>
      </c>
      <c r="I56" s="5">
        <f t="shared" si="2"/>
        <v>93025783</v>
      </c>
      <c r="J56" t="str">
        <f t="shared" si="3"/>
        <v xml:space="preserve">SB SIZE 45.5                </v>
      </c>
      <c r="K56" s="8">
        <f t="shared" si="4"/>
        <v>0</v>
      </c>
      <c r="L56">
        <f t="shared" ca="1" si="10"/>
        <v>1</v>
      </c>
    </row>
    <row r="57" spans="1:21">
      <c r="A57" s="5" t="s">
        <v>37</v>
      </c>
      <c r="H57" s="5" t="s">
        <v>103</v>
      </c>
      <c r="I57" s="5">
        <f t="shared" si="2"/>
        <v>93025783</v>
      </c>
      <c r="J57" t="str">
        <f t="shared" si="3"/>
        <v xml:space="preserve">SB SIZE 45.5                </v>
      </c>
      <c r="K57" s="8">
        <f t="shared" si="4"/>
        <v>0</v>
      </c>
      <c r="L57">
        <f t="shared" ca="1" si="10"/>
        <v>1</v>
      </c>
    </row>
    <row r="58" spans="1:21">
      <c r="A58" s="5" t="s">
        <v>38</v>
      </c>
      <c r="H58" s="5" t="s">
        <v>103</v>
      </c>
      <c r="I58" s="5">
        <f t="shared" si="2"/>
        <v>93025783</v>
      </c>
      <c r="J58" t="str">
        <f t="shared" si="3"/>
        <v xml:space="preserve">SB SIZE 45.5                </v>
      </c>
      <c r="K58" s="8">
        <f t="shared" si="4"/>
        <v>0</v>
      </c>
      <c r="L58">
        <f t="shared" ca="1" si="10"/>
        <v>1</v>
      </c>
    </row>
    <row r="59" spans="1:21">
      <c r="A59" s="5" t="s">
        <v>39</v>
      </c>
      <c r="H59" s="5" t="s">
        <v>103</v>
      </c>
      <c r="I59" s="5">
        <f t="shared" si="2"/>
        <v>93025783</v>
      </c>
      <c r="J59" t="str">
        <f t="shared" si="3"/>
        <v xml:space="preserve">SB SIZE 45.5                </v>
      </c>
      <c r="K59" s="8">
        <f t="shared" si="4"/>
        <v>0</v>
      </c>
      <c r="L59">
        <f t="shared" ca="1" si="10"/>
        <v>1</v>
      </c>
    </row>
    <row r="60" spans="1:21">
      <c r="A60" s="6"/>
      <c r="H60" s="5" t="s">
        <v>119</v>
      </c>
      <c r="I60" s="5">
        <f t="shared" si="2"/>
        <v>93025818</v>
      </c>
      <c r="J60" t="str">
        <f t="shared" si="3"/>
        <v xml:space="preserve">SB T-SHIRT 25               </v>
      </c>
      <c r="K60" s="8">
        <f t="shared" si="4"/>
        <v>0</v>
      </c>
      <c r="L60">
        <f t="shared" ca="1" si="10"/>
        <v>1</v>
      </c>
    </row>
    <row r="61" spans="1:21">
      <c r="A61" s="5" t="s">
        <v>10</v>
      </c>
      <c r="H61" s="5" t="s">
        <v>119</v>
      </c>
      <c r="I61" s="5">
        <f t="shared" si="2"/>
        <v>93025818</v>
      </c>
      <c r="J61" t="str">
        <f t="shared" si="3"/>
        <v xml:space="preserve">SB T-SHIRT 25               </v>
      </c>
      <c r="K61" s="8">
        <f t="shared" si="4"/>
        <v>0</v>
      </c>
      <c r="L61">
        <f t="shared" ca="1" si="10"/>
        <v>1</v>
      </c>
    </row>
    <row r="62" spans="1:21">
      <c r="A62" s="5" t="s">
        <v>11</v>
      </c>
      <c r="H62" s="5" t="s">
        <v>119</v>
      </c>
      <c r="I62" s="5">
        <f t="shared" si="2"/>
        <v>93025818</v>
      </c>
      <c r="J62" t="str">
        <f t="shared" si="3"/>
        <v xml:space="preserve">SB T-SHIRT 25               </v>
      </c>
      <c r="K62" s="8">
        <f t="shared" si="4"/>
        <v>0</v>
      </c>
      <c r="L62">
        <f t="shared" ca="1" si="10"/>
        <v>1</v>
      </c>
    </row>
    <row r="63" spans="1:21">
      <c r="A63" s="6"/>
      <c r="H63" s="5" t="s">
        <v>119</v>
      </c>
      <c r="I63" s="5">
        <f t="shared" si="2"/>
        <v>93025818</v>
      </c>
      <c r="J63" t="str">
        <f t="shared" si="3"/>
        <v xml:space="preserve">SB T-SHIRT 25               </v>
      </c>
      <c r="K63" s="8">
        <f t="shared" si="4"/>
        <v>0</v>
      </c>
      <c r="L63">
        <f t="shared" ca="1" si="10"/>
        <v>1</v>
      </c>
    </row>
    <row r="64" spans="1:21">
      <c r="A64" s="6"/>
      <c r="H64" s="5" t="s">
        <v>119</v>
      </c>
      <c r="I64" s="5">
        <f t="shared" si="2"/>
        <v>93025818</v>
      </c>
      <c r="J64" t="str">
        <f t="shared" si="3"/>
        <v xml:space="preserve">SB T-SHIRT 25               </v>
      </c>
      <c r="K64" s="8">
        <f t="shared" si="4"/>
        <v>0</v>
      </c>
      <c r="L64">
        <f t="shared" ca="1" si="10"/>
        <v>1</v>
      </c>
    </row>
    <row r="65" spans="1:12">
      <c r="A65" s="6"/>
      <c r="H65" s="5" t="s">
        <v>119</v>
      </c>
      <c r="I65" s="5">
        <f t="shared" si="2"/>
        <v>93025818</v>
      </c>
      <c r="J65" t="str">
        <f t="shared" si="3"/>
        <v xml:space="preserve">SB T-SHIRT 25               </v>
      </c>
      <c r="K65" s="8">
        <f t="shared" si="4"/>
        <v>0</v>
      </c>
      <c r="L65">
        <f t="shared" ca="1" si="10"/>
        <v>1</v>
      </c>
    </row>
    <row r="66" spans="1:12">
      <c r="A66" s="6"/>
      <c r="H66" s="5" t="s">
        <v>119</v>
      </c>
      <c r="I66" s="5">
        <f t="shared" si="2"/>
        <v>93025818</v>
      </c>
      <c r="J66" t="str">
        <f t="shared" si="3"/>
        <v xml:space="preserve">SB T-SHIRT 25               </v>
      </c>
      <c r="K66" s="8">
        <f t="shared" si="4"/>
        <v>0</v>
      </c>
      <c r="L66">
        <f t="shared" ref="L66:L97" ca="1" si="11">IFERROR((--LEFT(INDIRECT("A"&amp;MATCH(H66,A:A,0)+1),FIND("@",INDIRECT("A"&amp;MATCH(H66,A:A,0)+1))-1)),1)</f>
        <v>1</v>
      </c>
    </row>
    <row r="67" spans="1:12">
      <c r="A67" s="5" t="s">
        <v>6</v>
      </c>
      <c r="H67" s="5" t="s">
        <v>119</v>
      </c>
      <c r="I67" s="5">
        <f t="shared" ref="I67:I130" si="12">LEFT(H67,FIND(" ",H67))-1</f>
        <v>93025818</v>
      </c>
      <c r="J67" t="str">
        <f t="shared" ref="J67:J130" si="13">MID(H67,FIND(" ",H67)+1,LEN(H67)-(FIND(" ",H67)+1)-(LEN(H67)-FIND("]",SUBSTITUTE(H67," ","]",LEN(H67)-LEN(SUBSTITUTE(H67," ",""))))))</f>
        <v xml:space="preserve">SB T-SHIRT 25               </v>
      </c>
      <c r="K67" s="8">
        <f t="shared" ref="K67:K130" si="14">VALUE(SUBSTITUTE(RIGHT(H67,LEN(H67)-FIND("]",(SUBSTITUTE(H67," ","]",LEN(H67)-LEN(SUBSTITUTE(H67," ","")))))),"S",""))</f>
        <v>0</v>
      </c>
      <c r="L67">
        <f t="shared" ca="1" si="11"/>
        <v>1</v>
      </c>
    </row>
    <row r="68" spans="1:12">
      <c r="A68" s="5" t="s">
        <v>40</v>
      </c>
      <c r="H68" s="5" t="s">
        <v>119</v>
      </c>
      <c r="I68" s="5">
        <f t="shared" si="12"/>
        <v>93025818</v>
      </c>
      <c r="J68" t="str">
        <f t="shared" si="13"/>
        <v xml:space="preserve">SB T-SHIRT 25               </v>
      </c>
      <c r="K68" s="8">
        <f t="shared" si="14"/>
        <v>0</v>
      </c>
      <c r="L68">
        <f t="shared" ca="1" si="11"/>
        <v>1</v>
      </c>
    </row>
    <row r="69" spans="1:12">
      <c r="A69" s="6"/>
      <c r="H69" s="5" t="s">
        <v>90</v>
      </c>
      <c r="I69" s="5">
        <f t="shared" si="12"/>
        <v>93025863</v>
      </c>
      <c r="J69" t="str">
        <f t="shared" si="13"/>
        <v xml:space="preserve">PB KECIL NATAL              </v>
      </c>
      <c r="K69" s="8">
        <f t="shared" si="14"/>
        <v>0</v>
      </c>
      <c r="L69">
        <f t="shared" ca="1" si="11"/>
        <v>1</v>
      </c>
    </row>
    <row r="70" spans="1:12">
      <c r="A70" s="5" t="s">
        <v>41</v>
      </c>
      <c r="H70" s="5" t="s">
        <v>61</v>
      </c>
      <c r="I70" s="5">
        <f t="shared" si="12"/>
        <v>93027003</v>
      </c>
      <c r="J70" t="str">
        <f t="shared" si="13"/>
        <v xml:space="preserve">SB 40 NATAL                 </v>
      </c>
      <c r="K70" s="8">
        <f t="shared" si="14"/>
        <v>0</v>
      </c>
      <c r="L70">
        <f t="shared" ca="1" si="11"/>
        <v>1</v>
      </c>
    </row>
    <row r="71" spans="1:12">
      <c r="A71" s="6"/>
      <c r="H71" s="5" t="s">
        <v>61</v>
      </c>
      <c r="I71" s="5">
        <f t="shared" si="12"/>
        <v>93027003</v>
      </c>
      <c r="J71" t="str">
        <f t="shared" si="13"/>
        <v xml:space="preserve">SB 40 NATAL                 </v>
      </c>
      <c r="K71" s="8">
        <f t="shared" si="14"/>
        <v>0</v>
      </c>
      <c r="L71">
        <f t="shared" ca="1" si="11"/>
        <v>1</v>
      </c>
    </row>
    <row r="72" spans="1:12">
      <c r="A72" s="5" t="s">
        <v>42</v>
      </c>
      <c r="H72" s="5" t="s">
        <v>61</v>
      </c>
      <c r="I72" s="5">
        <f t="shared" si="12"/>
        <v>93027003</v>
      </c>
      <c r="J72" t="str">
        <f t="shared" si="13"/>
        <v xml:space="preserve">SB 40 NATAL                 </v>
      </c>
      <c r="K72" s="8">
        <f t="shared" si="14"/>
        <v>0</v>
      </c>
      <c r="L72">
        <f t="shared" ca="1" si="11"/>
        <v>1</v>
      </c>
    </row>
    <row r="73" spans="1:12">
      <c r="A73" s="6"/>
      <c r="H73" s="5" t="s">
        <v>15</v>
      </c>
      <c r="I73" s="5">
        <f t="shared" si="12"/>
        <v>93027030</v>
      </c>
      <c r="J73" t="str">
        <f t="shared" si="13"/>
        <v xml:space="preserve">SB T-SHIRT 40               </v>
      </c>
      <c r="K73" s="8">
        <f t="shared" si="14"/>
        <v>0</v>
      </c>
      <c r="L73">
        <f t="shared" ca="1" si="11"/>
        <v>1</v>
      </c>
    </row>
    <row r="74" spans="1:12">
      <c r="A74" s="5" t="s">
        <v>43</v>
      </c>
      <c r="H74" s="5" t="s">
        <v>15</v>
      </c>
      <c r="I74" s="5">
        <f t="shared" si="12"/>
        <v>93027030</v>
      </c>
      <c r="J74" t="str">
        <f t="shared" si="13"/>
        <v xml:space="preserve">SB T-SHIRT 40               </v>
      </c>
      <c r="K74" s="8">
        <f t="shared" si="14"/>
        <v>0</v>
      </c>
      <c r="L74">
        <f t="shared" ca="1" si="11"/>
        <v>1</v>
      </c>
    </row>
    <row r="75" spans="1:12">
      <c r="A75" s="5" t="s">
        <v>44</v>
      </c>
      <c r="H75" s="5" t="s">
        <v>15</v>
      </c>
      <c r="I75" s="5">
        <f t="shared" si="12"/>
        <v>93027030</v>
      </c>
      <c r="J75" t="str">
        <f t="shared" si="13"/>
        <v xml:space="preserve">SB T-SHIRT 40               </v>
      </c>
      <c r="K75" s="8">
        <f t="shared" si="14"/>
        <v>0</v>
      </c>
      <c r="L75">
        <f t="shared" ca="1" si="11"/>
        <v>1</v>
      </c>
    </row>
    <row r="76" spans="1:12">
      <c r="A76" s="5" t="s">
        <v>45</v>
      </c>
      <c r="H76" s="5" t="s">
        <v>15</v>
      </c>
      <c r="I76" s="5">
        <f t="shared" si="12"/>
        <v>93027030</v>
      </c>
      <c r="J76" t="str">
        <f t="shared" si="13"/>
        <v xml:space="preserve">SB T-SHIRT 40               </v>
      </c>
      <c r="K76" s="8">
        <f t="shared" si="14"/>
        <v>0</v>
      </c>
      <c r="L76">
        <f t="shared" ca="1" si="11"/>
        <v>1</v>
      </c>
    </row>
    <row r="77" spans="1:12">
      <c r="A77" s="5" t="s">
        <v>46</v>
      </c>
      <c r="H77" s="5" t="s">
        <v>15</v>
      </c>
      <c r="I77" s="5">
        <f t="shared" si="12"/>
        <v>93027030</v>
      </c>
      <c r="J77" t="str">
        <f t="shared" si="13"/>
        <v xml:space="preserve">SB T-SHIRT 40               </v>
      </c>
      <c r="K77" s="8">
        <f t="shared" si="14"/>
        <v>0</v>
      </c>
      <c r="L77">
        <f t="shared" ca="1" si="11"/>
        <v>1</v>
      </c>
    </row>
    <row r="78" spans="1:12">
      <c r="A78" s="5" t="s">
        <v>47</v>
      </c>
      <c r="H78" s="5" t="s">
        <v>15</v>
      </c>
      <c r="I78" s="5">
        <f t="shared" si="12"/>
        <v>93027030</v>
      </c>
      <c r="J78" t="str">
        <f t="shared" si="13"/>
        <v xml:space="preserve">SB T-SHIRT 40               </v>
      </c>
      <c r="K78" s="8">
        <f t="shared" si="14"/>
        <v>0</v>
      </c>
      <c r="L78">
        <f t="shared" ca="1" si="11"/>
        <v>1</v>
      </c>
    </row>
    <row r="79" spans="1:12">
      <c r="A79" s="5" t="s">
        <v>37</v>
      </c>
      <c r="H79" s="5" t="s">
        <v>15</v>
      </c>
      <c r="I79" s="5">
        <f t="shared" si="12"/>
        <v>93027030</v>
      </c>
      <c r="J79" t="str">
        <f t="shared" si="13"/>
        <v xml:space="preserve">SB T-SHIRT 40               </v>
      </c>
      <c r="K79" s="8">
        <f t="shared" si="14"/>
        <v>0</v>
      </c>
      <c r="L79">
        <f t="shared" ca="1" si="11"/>
        <v>1</v>
      </c>
    </row>
    <row r="80" spans="1:12">
      <c r="A80" s="6"/>
      <c r="H80" s="5" t="s">
        <v>15</v>
      </c>
      <c r="I80" s="5">
        <f t="shared" si="12"/>
        <v>93027030</v>
      </c>
      <c r="J80" t="str">
        <f t="shared" si="13"/>
        <v xml:space="preserve">SB T-SHIRT 40               </v>
      </c>
      <c r="K80" s="8">
        <f t="shared" si="14"/>
        <v>0</v>
      </c>
      <c r="L80">
        <f t="shared" ca="1" si="11"/>
        <v>1</v>
      </c>
    </row>
    <row r="81" spans="1:12">
      <c r="A81" s="5" t="s">
        <v>10</v>
      </c>
      <c r="H81" s="5" t="s">
        <v>15</v>
      </c>
      <c r="I81" s="5">
        <f t="shared" si="12"/>
        <v>93027030</v>
      </c>
      <c r="J81" t="str">
        <f t="shared" si="13"/>
        <v xml:space="preserve">SB T-SHIRT 40               </v>
      </c>
      <c r="K81" s="8">
        <f t="shared" si="14"/>
        <v>0</v>
      </c>
      <c r="L81">
        <f t="shared" ca="1" si="11"/>
        <v>1</v>
      </c>
    </row>
    <row r="82" spans="1:12">
      <c r="A82" s="5" t="s">
        <v>11</v>
      </c>
      <c r="H82" s="5" t="s">
        <v>15</v>
      </c>
      <c r="I82" s="5">
        <f t="shared" si="12"/>
        <v>93027030</v>
      </c>
      <c r="J82" t="str">
        <f t="shared" si="13"/>
        <v xml:space="preserve">SB T-SHIRT 40               </v>
      </c>
      <c r="K82" s="8">
        <f t="shared" si="14"/>
        <v>0</v>
      </c>
      <c r="L82">
        <f t="shared" ca="1" si="11"/>
        <v>1</v>
      </c>
    </row>
    <row r="83" spans="1:12">
      <c r="A83" s="6"/>
      <c r="H83" s="5" t="s">
        <v>15</v>
      </c>
      <c r="I83" s="5">
        <f t="shared" si="12"/>
        <v>93027030</v>
      </c>
      <c r="J83" t="str">
        <f t="shared" si="13"/>
        <v xml:space="preserve">SB T-SHIRT 40               </v>
      </c>
      <c r="K83" s="8">
        <f t="shared" si="14"/>
        <v>0</v>
      </c>
      <c r="L83">
        <f t="shared" ca="1" si="11"/>
        <v>1</v>
      </c>
    </row>
    <row r="84" spans="1:12">
      <c r="A84" s="6"/>
      <c r="H84" s="5" t="s">
        <v>15</v>
      </c>
      <c r="I84" s="5">
        <f t="shared" si="12"/>
        <v>93027030</v>
      </c>
      <c r="J84" t="str">
        <f t="shared" si="13"/>
        <v xml:space="preserve">SB T-SHIRT 40               </v>
      </c>
      <c r="K84" s="8">
        <f t="shared" si="14"/>
        <v>0</v>
      </c>
      <c r="L84">
        <f t="shared" ca="1" si="11"/>
        <v>1</v>
      </c>
    </row>
    <row r="85" spans="1:12">
      <c r="A85" s="5" t="s">
        <v>3</v>
      </c>
      <c r="H85" s="5" t="s">
        <v>15</v>
      </c>
      <c r="I85" s="5">
        <f t="shared" si="12"/>
        <v>93027030</v>
      </c>
      <c r="J85" t="str">
        <f t="shared" si="13"/>
        <v xml:space="preserve">SB T-SHIRT 40               </v>
      </c>
      <c r="K85" s="8">
        <f t="shared" si="14"/>
        <v>0</v>
      </c>
      <c r="L85">
        <f t="shared" ca="1" si="11"/>
        <v>1</v>
      </c>
    </row>
    <row r="86" spans="1:12">
      <c r="A86" s="5" t="s">
        <v>4</v>
      </c>
      <c r="H86" s="5" t="s">
        <v>15</v>
      </c>
      <c r="I86" s="5">
        <f t="shared" si="12"/>
        <v>93027030</v>
      </c>
      <c r="J86" t="str">
        <f t="shared" si="13"/>
        <v xml:space="preserve">SB T-SHIRT 40               </v>
      </c>
      <c r="K86" s="8">
        <f t="shared" si="14"/>
        <v>0</v>
      </c>
      <c r="L86">
        <f t="shared" ca="1" si="11"/>
        <v>1</v>
      </c>
    </row>
    <row r="87" spans="1:12">
      <c r="A87" s="5" t="s">
        <v>5</v>
      </c>
      <c r="H87" s="5" t="s">
        <v>15</v>
      </c>
      <c r="I87" s="5">
        <f t="shared" si="12"/>
        <v>93027030</v>
      </c>
      <c r="J87" t="str">
        <f t="shared" si="13"/>
        <v xml:space="preserve">SB T-SHIRT 40               </v>
      </c>
      <c r="K87" s="8">
        <f t="shared" si="14"/>
        <v>0</v>
      </c>
      <c r="L87">
        <f t="shared" ca="1" si="11"/>
        <v>1</v>
      </c>
    </row>
    <row r="88" spans="1:12">
      <c r="A88" s="5" t="s">
        <v>6</v>
      </c>
      <c r="H88" s="5" t="s">
        <v>15</v>
      </c>
      <c r="I88" s="5">
        <f t="shared" si="12"/>
        <v>93027030</v>
      </c>
      <c r="J88" t="str">
        <f t="shared" si="13"/>
        <v xml:space="preserve">SB T-SHIRT 40               </v>
      </c>
      <c r="K88" s="8">
        <f t="shared" si="14"/>
        <v>0</v>
      </c>
      <c r="L88">
        <f t="shared" ca="1" si="11"/>
        <v>1</v>
      </c>
    </row>
    <row r="89" spans="1:12">
      <c r="A89" s="5" t="s">
        <v>7</v>
      </c>
      <c r="H89" s="5" t="s">
        <v>15</v>
      </c>
      <c r="I89" s="5">
        <f t="shared" si="12"/>
        <v>93027030</v>
      </c>
      <c r="J89" t="str">
        <f t="shared" si="13"/>
        <v xml:space="preserve">SB T-SHIRT 40               </v>
      </c>
      <c r="K89" s="8">
        <f t="shared" si="14"/>
        <v>0</v>
      </c>
      <c r="L89">
        <f t="shared" ca="1" si="11"/>
        <v>1</v>
      </c>
    </row>
    <row r="90" spans="1:12">
      <c r="A90" s="5" t="s">
        <v>6</v>
      </c>
      <c r="H90" s="5" t="s">
        <v>15</v>
      </c>
      <c r="I90" s="5">
        <f t="shared" si="12"/>
        <v>93027030</v>
      </c>
      <c r="J90" t="str">
        <f t="shared" si="13"/>
        <v xml:space="preserve">SB T-SHIRT 40               </v>
      </c>
      <c r="K90" s="8">
        <f t="shared" si="14"/>
        <v>0</v>
      </c>
      <c r="L90">
        <f t="shared" ca="1" si="11"/>
        <v>1</v>
      </c>
    </row>
    <row r="91" spans="1:12">
      <c r="A91" s="5" t="s">
        <v>48</v>
      </c>
      <c r="H91" s="5" t="s">
        <v>15</v>
      </c>
      <c r="I91" s="5">
        <f t="shared" si="12"/>
        <v>93027030</v>
      </c>
      <c r="J91" t="str">
        <f t="shared" si="13"/>
        <v xml:space="preserve">SB T-SHIRT 40               </v>
      </c>
      <c r="K91" s="8">
        <f t="shared" si="14"/>
        <v>0</v>
      </c>
      <c r="L91">
        <f t="shared" ca="1" si="11"/>
        <v>1</v>
      </c>
    </row>
    <row r="92" spans="1:12">
      <c r="A92" s="5" t="s">
        <v>49</v>
      </c>
      <c r="H92" s="5" t="s">
        <v>15</v>
      </c>
      <c r="I92" s="5">
        <f t="shared" si="12"/>
        <v>93027030</v>
      </c>
      <c r="J92" t="str">
        <f t="shared" si="13"/>
        <v xml:space="preserve">SB T-SHIRT 40               </v>
      </c>
      <c r="K92" s="8">
        <f t="shared" si="14"/>
        <v>0</v>
      </c>
      <c r="L92">
        <f t="shared" ca="1" si="11"/>
        <v>1</v>
      </c>
    </row>
    <row r="93" spans="1:12">
      <c r="A93" s="6"/>
      <c r="H93" s="5" t="s">
        <v>15</v>
      </c>
      <c r="I93" s="5">
        <f t="shared" si="12"/>
        <v>93027030</v>
      </c>
      <c r="J93" t="str">
        <f t="shared" si="13"/>
        <v xml:space="preserve">SB T-SHIRT 40               </v>
      </c>
      <c r="K93" s="8">
        <f t="shared" si="14"/>
        <v>0</v>
      </c>
      <c r="L93">
        <f t="shared" ca="1" si="11"/>
        <v>1</v>
      </c>
    </row>
    <row r="94" spans="1:12">
      <c r="A94" s="5" t="s">
        <v>50</v>
      </c>
      <c r="H94" s="5" t="s">
        <v>15</v>
      </c>
      <c r="I94" s="5">
        <f t="shared" si="12"/>
        <v>93027030</v>
      </c>
      <c r="J94" t="str">
        <f t="shared" si="13"/>
        <v xml:space="preserve">SB T-SHIRT 40               </v>
      </c>
      <c r="K94" s="8">
        <f t="shared" si="14"/>
        <v>0</v>
      </c>
      <c r="L94">
        <f t="shared" ca="1" si="11"/>
        <v>1</v>
      </c>
    </row>
    <row r="95" spans="1:12">
      <c r="A95" s="5" t="s">
        <v>15</v>
      </c>
      <c r="H95" s="5" t="s">
        <v>394</v>
      </c>
      <c r="I95" s="5">
        <f t="shared" si="12"/>
        <v>94704859</v>
      </c>
      <c r="J95" t="str">
        <f t="shared" si="13"/>
        <v xml:space="preserve">YONGKI KOMALADI       </v>
      </c>
      <c r="K95" s="8">
        <f t="shared" si="14"/>
        <v>198000</v>
      </c>
      <c r="L95">
        <f t="shared" ca="1" si="11"/>
        <v>2</v>
      </c>
    </row>
    <row r="96" spans="1:12">
      <c r="A96" s="5" t="s">
        <v>6</v>
      </c>
      <c r="H96" s="5" t="s">
        <v>82</v>
      </c>
      <c r="I96" s="5">
        <f t="shared" si="12"/>
        <v>94706545</v>
      </c>
      <c r="J96" t="str">
        <f t="shared" si="13"/>
        <v xml:space="preserve">YONGKI KOMALADI        </v>
      </c>
      <c r="K96" s="8">
        <f t="shared" si="14"/>
        <v>79200</v>
      </c>
      <c r="L96">
        <f t="shared" ca="1" si="11"/>
        <v>1</v>
      </c>
    </row>
    <row r="97" spans="1:12">
      <c r="A97" s="5" t="s">
        <v>51</v>
      </c>
      <c r="H97" s="5" t="s">
        <v>82</v>
      </c>
      <c r="I97" s="5">
        <f t="shared" si="12"/>
        <v>94706545</v>
      </c>
      <c r="J97" t="str">
        <f t="shared" si="13"/>
        <v xml:space="preserve">YONGKI KOMALADI        </v>
      </c>
      <c r="K97" s="8">
        <f t="shared" si="14"/>
        <v>79200</v>
      </c>
      <c r="L97">
        <f t="shared" ca="1" si="11"/>
        <v>1</v>
      </c>
    </row>
    <row r="98" spans="1:12">
      <c r="A98" s="5" t="s">
        <v>52</v>
      </c>
      <c r="H98" s="5" t="s">
        <v>82</v>
      </c>
      <c r="I98" s="5">
        <f t="shared" si="12"/>
        <v>94706545</v>
      </c>
      <c r="J98" t="str">
        <f t="shared" si="13"/>
        <v xml:space="preserve">YONGKI KOMALADI        </v>
      </c>
      <c r="K98" s="8">
        <f t="shared" si="14"/>
        <v>79200</v>
      </c>
      <c r="L98">
        <f t="shared" ref="L98:L129" ca="1" si="15">IFERROR((--LEFT(INDIRECT("A"&amp;MATCH(H98,A:A,0)+1),FIND("@",INDIRECT("A"&amp;MATCH(H98,A:A,0)+1))-1)),1)</f>
        <v>1</v>
      </c>
    </row>
    <row r="99" spans="1:12">
      <c r="A99" s="5" t="s">
        <v>53</v>
      </c>
      <c r="H99" s="5" t="s">
        <v>82</v>
      </c>
      <c r="I99" s="5">
        <f t="shared" si="12"/>
        <v>94706545</v>
      </c>
      <c r="J99" t="str">
        <f t="shared" si="13"/>
        <v xml:space="preserve">YONGKI KOMALADI        </v>
      </c>
      <c r="K99" s="8">
        <f t="shared" si="14"/>
        <v>79200</v>
      </c>
      <c r="L99">
        <f t="shared" ca="1" si="15"/>
        <v>1</v>
      </c>
    </row>
    <row r="100" spans="1:12">
      <c r="A100" s="5" t="s">
        <v>54</v>
      </c>
      <c r="H100" s="5" t="s">
        <v>82</v>
      </c>
      <c r="I100" s="5">
        <f t="shared" si="12"/>
        <v>94706545</v>
      </c>
      <c r="J100" t="str">
        <f t="shared" si="13"/>
        <v xml:space="preserve">YONGKI KOMALADI        </v>
      </c>
      <c r="K100" s="8">
        <f t="shared" si="14"/>
        <v>79200</v>
      </c>
      <c r="L100">
        <f t="shared" ca="1" si="15"/>
        <v>1</v>
      </c>
    </row>
    <row r="101" spans="1:12">
      <c r="A101" s="6"/>
      <c r="H101" s="5" t="s">
        <v>390</v>
      </c>
      <c r="I101" s="5">
        <f t="shared" si="12"/>
        <v>94706545</v>
      </c>
      <c r="J101" t="str">
        <f t="shared" si="13"/>
        <v xml:space="preserve">YONGKI KOMALADI        </v>
      </c>
      <c r="K101" s="8">
        <f t="shared" si="14"/>
        <v>99000</v>
      </c>
      <c r="L101">
        <f t="shared" ca="1" si="15"/>
        <v>1</v>
      </c>
    </row>
    <row r="102" spans="1:12">
      <c r="A102" s="5" t="s">
        <v>19</v>
      </c>
      <c r="H102" s="5" t="s">
        <v>95</v>
      </c>
      <c r="I102" s="5">
        <f t="shared" si="12"/>
        <v>94757535</v>
      </c>
      <c r="J102" t="str">
        <f t="shared" si="13"/>
        <v xml:space="preserve">HIPO-FANT APP.         </v>
      </c>
      <c r="K102" s="8">
        <f t="shared" si="14"/>
        <v>60000</v>
      </c>
      <c r="L102">
        <f t="shared" ca="1" si="15"/>
        <v>1</v>
      </c>
    </row>
    <row r="103" spans="1:12">
      <c r="A103" s="5" t="s">
        <v>20</v>
      </c>
      <c r="H103" s="5" t="s">
        <v>12</v>
      </c>
      <c r="I103" s="5">
        <f t="shared" si="12"/>
        <v>94757535</v>
      </c>
      <c r="J103" t="str">
        <f t="shared" si="13"/>
        <v xml:space="preserve">HIPO-FANT APP.        </v>
      </c>
      <c r="K103" s="8">
        <f t="shared" si="14"/>
        <v>100000</v>
      </c>
      <c r="L103">
        <f t="shared" ca="1" si="15"/>
        <v>2</v>
      </c>
    </row>
    <row r="104" spans="1:12">
      <c r="A104" s="5" t="s">
        <v>21</v>
      </c>
      <c r="H104" s="5" t="s">
        <v>12</v>
      </c>
      <c r="I104" s="5">
        <f t="shared" si="12"/>
        <v>94757535</v>
      </c>
      <c r="J104" t="str">
        <f t="shared" si="13"/>
        <v xml:space="preserve">HIPO-FANT APP.        </v>
      </c>
      <c r="K104" s="8">
        <f t="shared" si="14"/>
        <v>100000</v>
      </c>
      <c r="L104">
        <f t="shared" ca="1" si="15"/>
        <v>2</v>
      </c>
    </row>
    <row r="105" spans="1:12">
      <c r="A105" s="5" t="s">
        <v>22</v>
      </c>
      <c r="H105" s="5" t="s">
        <v>12</v>
      </c>
      <c r="I105" s="5">
        <f t="shared" si="12"/>
        <v>94757535</v>
      </c>
      <c r="J105" t="str">
        <f t="shared" si="13"/>
        <v xml:space="preserve">HIPO-FANT APP.        </v>
      </c>
      <c r="K105" s="8">
        <f t="shared" si="14"/>
        <v>100000</v>
      </c>
      <c r="L105">
        <f t="shared" ca="1" si="15"/>
        <v>2</v>
      </c>
    </row>
    <row r="106" spans="1:12">
      <c r="A106" s="5" t="s">
        <v>23</v>
      </c>
      <c r="H106" s="5" t="s">
        <v>12</v>
      </c>
      <c r="I106" s="5">
        <f t="shared" si="12"/>
        <v>94757535</v>
      </c>
      <c r="J106" t="str">
        <f t="shared" si="13"/>
        <v xml:space="preserve">HIPO-FANT APP.        </v>
      </c>
      <c r="K106" s="8">
        <f t="shared" si="14"/>
        <v>100000</v>
      </c>
      <c r="L106">
        <f t="shared" ca="1" si="15"/>
        <v>2</v>
      </c>
    </row>
    <row r="107" spans="1:12">
      <c r="A107" s="5" t="s">
        <v>24</v>
      </c>
      <c r="H107" s="5" t="s">
        <v>12</v>
      </c>
      <c r="I107" s="5">
        <f t="shared" si="12"/>
        <v>94757535</v>
      </c>
      <c r="J107" t="str">
        <f t="shared" si="13"/>
        <v xml:space="preserve">HIPO-FANT APP.        </v>
      </c>
      <c r="K107" s="8">
        <f t="shared" si="14"/>
        <v>100000</v>
      </c>
      <c r="L107">
        <f t="shared" ca="1" si="15"/>
        <v>2</v>
      </c>
    </row>
    <row r="108" spans="1:12">
      <c r="A108" s="5" t="s">
        <v>25</v>
      </c>
      <c r="H108" s="5" t="s">
        <v>12</v>
      </c>
      <c r="I108" s="5">
        <f t="shared" si="12"/>
        <v>94757535</v>
      </c>
      <c r="J108" t="str">
        <f t="shared" si="13"/>
        <v xml:space="preserve">HIPO-FANT APP.        </v>
      </c>
      <c r="K108" s="8">
        <f t="shared" si="14"/>
        <v>100000</v>
      </c>
      <c r="L108">
        <f t="shared" ca="1" si="15"/>
        <v>2</v>
      </c>
    </row>
    <row r="109" spans="1:12">
      <c r="A109" s="5" t="s">
        <v>26</v>
      </c>
      <c r="H109" s="5" t="s">
        <v>12</v>
      </c>
      <c r="I109" s="5">
        <f t="shared" si="12"/>
        <v>94757535</v>
      </c>
      <c r="J109" t="str">
        <f t="shared" si="13"/>
        <v xml:space="preserve">HIPO-FANT APP.        </v>
      </c>
      <c r="K109" s="8">
        <f t="shared" si="14"/>
        <v>100000</v>
      </c>
      <c r="L109">
        <f t="shared" ca="1" si="15"/>
        <v>2</v>
      </c>
    </row>
    <row r="110" spans="1:12">
      <c r="A110" s="5" t="s">
        <v>27</v>
      </c>
      <c r="H110" s="5" t="s">
        <v>12</v>
      </c>
      <c r="I110" s="5">
        <f t="shared" si="12"/>
        <v>94757535</v>
      </c>
      <c r="J110" t="str">
        <f t="shared" si="13"/>
        <v xml:space="preserve">HIPO-FANT APP.        </v>
      </c>
      <c r="K110" s="8">
        <f t="shared" si="14"/>
        <v>100000</v>
      </c>
      <c r="L110">
        <f t="shared" ca="1" si="15"/>
        <v>2</v>
      </c>
    </row>
    <row r="111" spans="1:12">
      <c r="A111" s="5" t="s">
        <v>6</v>
      </c>
      <c r="H111" s="5" t="s">
        <v>12</v>
      </c>
      <c r="I111" s="5">
        <f t="shared" si="12"/>
        <v>94757535</v>
      </c>
      <c r="J111" t="str">
        <f t="shared" si="13"/>
        <v xml:space="preserve">HIPO-FANT APP.        </v>
      </c>
      <c r="K111" s="8">
        <f t="shared" si="14"/>
        <v>100000</v>
      </c>
      <c r="L111">
        <f t="shared" ca="1" si="15"/>
        <v>2</v>
      </c>
    </row>
    <row r="112" spans="1:12">
      <c r="A112" s="5" t="s">
        <v>28</v>
      </c>
      <c r="H112" s="5" t="s">
        <v>130</v>
      </c>
      <c r="I112" s="5">
        <f t="shared" si="12"/>
        <v>94757535</v>
      </c>
      <c r="J112" t="str">
        <f t="shared" si="13"/>
        <v xml:space="preserve">HIPO-FANT APP.        </v>
      </c>
      <c r="K112" s="8">
        <f t="shared" si="14"/>
        <v>100000</v>
      </c>
      <c r="L112">
        <f t="shared" ca="1" si="15"/>
        <v>2</v>
      </c>
    </row>
    <row r="113" spans="1:12">
      <c r="A113" s="5" t="s">
        <v>29</v>
      </c>
      <c r="H113" s="5" t="s">
        <v>106</v>
      </c>
      <c r="I113" s="5">
        <f t="shared" si="12"/>
        <v>94825701</v>
      </c>
      <c r="J113" t="str">
        <f t="shared" si="13"/>
        <v xml:space="preserve">EMBA JEANS            </v>
      </c>
      <c r="K113" s="8">
        <f t="shared" si="14"/>
        <v>180000</v>
      </c>
      <c r="L113">
        <f t="shared" ca="1" si="15"/>
        <v>1</v>
      </c>
    </row>
    <row r="114" spans="1:12">
      <c r="A114" s="6"/>
      <c r="H114" s="5" t="s">
        <v>106</v>
      </c>
      <c r="I114" s="5">
        <f t="shared" si="12"/>
        <v>94825701</v>
      </c>
      <c r="J114" t="str">
        <f t="shared" si="13"/>
        <v xml:space="preserve">EMBA JEANS            </v>
      </c>
      <c r="K114" s="8">
        <f t="shared" si="14"/>
        <v>180000</v>
      </c>
      <c r="L114">
        <f t="shared" ca="1" si="15"/>
        <v>1</v>
      </c>
    </row>
    <row r="115" spans="1:12">
      <c r="A115" s="6"/>
      <c r="H115" s="5" t="s">
        <v>106</v>
      </c>
      <c r="I115" s="5">
        <f t="shared" si="12"/>
        <v>94825701</v>
      </c>
      <c r="J115" t="str">
        <f t="shared" si="13"/>
        <v xml:space="preserve">EMBA JEANS            </v>
      </c>
      <c r="K115" s="8">
        <f t="shared" si="14"/>
        <v>180000</v>
      </c>
      <c r="L115">
        <f t="shared" ca="1" si="15"/>
        <v>1</v>
      </c>
    </row>
    <row r="116" spans="1:12">
      <c r="A116" s="5" t="s">
        <v>6</v>
      </c>
      <c r="H116" s="5" t="s">
        <v>106</v>
      </c>
      <c r="I116" s="5">
        <f t="shared" si="12"/>
        <v>94825701</v>
      </c>
      <c r="J116" t="str">
        <f t="shared" si="13"/>
        <v xml:space="preserve">EMBA JEANS            </v>
      </c>
      <c r="K116" s="8">
        <f t="shared" si="14"/>
        <v>180000</v>
      </c>
      <c r="L116">
        <f t="shared" ca="1" si="15"/>
        <v>1</v>
      </c>
    </row>
    <row r="117" spans="1:12">
      <c r="A117" s="5" t="s">
        <v>30</v>
      </c>
      <c r="H117" s="5" t="s">
        <v>106</v>
      </c>
      <c r="I117" s="5">
        <f t="shared" si="12"/>
        <v>94825701</v>
      </c>
      <c r="J117" t="str">
        <f t="shared" si="13"/>
        <v xml:space="preserve">EMBA JEANS            </v>
      </c>
      <c r="K117" s="8">
        <f t="shared" si="14"/>
        <v>180000</v>
      </c>
      <c r="L117">
        <f t="shared" ca="1" si="15"/>
        <v>1</v>
      </c>
    </row>
    <row r="118" spans="1:12">
      <c r="A118" s="6"/>
      <c r="H118" s="5" t="s">
        <v>106</v>
      </c>
      <c r="I118" s="5">
        <f t="shared" si="12"/>
        <v>94825701</v>
      </c>
      <c r="J118" t="str">
        <f t="shared" si="13"/>
        <v xml:space="preserve">EMBA JEANS            </v>
      </c>
      <c r="K118" s="8">
        <f t="shared" si="14"/>
        <v>180000</v>
      </c>
      <c r="L118">
        <f t="shared" ca="1" si="15"/>
        <v>1</v>
      </c>
    </row>
    <row r="119" spans="1:12">
      <c r="A119" s="5" t="s">
        <v>31</v>
      </c>
      <c r="H119" s="5" t="s">
        <v>231</v>
      </c>
      <c r="I119" s="5">
        <f t="shared" si="12"/>
        <v>94833514</v>
      </c>
      <c r="J119" t="str">
        <f t="shared" si="13"/>
        <v xml:space="preserve">UOMO                  </v>
      </c>
      <c r="K119" s="8">
        <f t="shared" si="14"/>
        <v>100000</v>
      </c>
      <c r="L119">
        <f t="shared" ca="1" si="15"/>
        <v>1</v>
      </c>
    </row>
    <row r="120" spans="1:12">
      <c r="A120" s="5" t="s">
        <v>32</v>
      </c>
      <c r="H120" s="5" t="s">
        <v>206</v>
      </c>
      <c r="I120" s="5">
        <f t="shared" si="12"/>
        <v>94833514</v>
      </c>
      <c r="J120" t="str">
        <f t="shared" si="13"/>
        <v xml:space="preserve">UOMO                  </v>
      </c>
      <c r="K120" s="8">
        <f t="shared" si="14"/>
        <v>125000</v>
      </c>
      <c r="L120">
        <f t="shared" ca="1" si="15"/>
        <v>1</v>
      </c>
    </row>
    <row r="121" spans="1:12">
      <c r="A121" s="5" t="s">
        <v>33</v>
      </c>
      <c r="H121" s="5" t="s">
        <v>179</v>
      </c>
      <c r="I121" s="5">
        <f t="shared" si="12"/>
        <v>94833514</v>
      </c>
      <c r="J121" t="str">
        <f t="shared" si="13"/>
        <v xml:space="preserve">UOMO                  </v>
      </c>
      <c r="K121" s="8">
        <f t="shared" si="14"/>
        <v>150000</v>
      </c>
      <c r="L121">
        <f t="shared" ca="1" si="15"/>
        <v>1</v>
      </c>
    </row>
    <row r="122" spans="1:12">
      <c r="A122" s="5" t="s">
        <v>34</v>
      </c>
      <c r="H122" s="5" t="s">
        <v>226</v>
      </c>
      <c r="I122" s="5">
        <f t="shared" si="12"/>
        <v>94833514</v>
      </c>
      <c r="J122" t="str">
        <f t="shared" si="13"/>
        <v xml:space="preserve">UOMO                 </v>
      </c>
      <c r="K122" s="8">
        <f t="shared" si="14"/>
        <v>-125000</v>
      </c>
      <c r="L122">
        <f t="shared" ca="1" si="15"/>
        <v>1</v>
      </c>
    </row>
    <row r="123" spans="1:12">
      <c r="A123" s="5" t="s">
        <v>35</v>
      </c>
      <c r="H123" s="5" t="s">
        <v>138</v>
      </c>
      <c r="I123" s="5">
        <f t="shared" si="12"/>
        <v>94851923</v>
      </c>
      <c r="J123" t="str">
        <f t="shared" si="13"/>
        <v xml:space="preserve">EMBA CLASSIC          </v>
      </c>
      <c r="K123" s="8">
        <f t="shared" si="14"/>
        <v>180000</v>
      </c>
      <c r="L123">
        <f t="shared" ca="1" si="15"/>
        <v>1</v>
      </c>
    </row>
    <row r="124" spans="1:12">
      <c r="A124" s="5" t="s">
        <v>36</v>
      </c>
      <c r="H124" s="5" t="s">
        <v>157</v>
      </c>
      <c r="I124" s="5">
        <f t="shared" si="12"/>
        <v>94859701</v>
      </c>
      <c r="J124" t="str">
        <f t="shared" si="13"/>
        <v xml:space="preserve">EPRISE                </v>
      </c>
      <c r="K124" s="8">
        <f t="shared" si="14"/>
        <v>139930</v>
      </c>
      <c r="L124">
        <f t="shared" ca="1" si="15"/>
        <v>1</v>
      </c>
    </row>
    <row r="125" spans="1:12">
      <c r="A125" s="5" t="s">
        <v>37</v>
      </c>
      <c r="H125" s="5" t="s">
        <v>161</v>
      </c>
      <c r="I125" s="5">
        <f t="shared" si="12"/>
        <v>94859701</v>
      </c>
      <c r="J125" t="str">
        <f t="shared" si="13"/>
        <v xml:space="preserve">EPRISE                </v>
      </c>
      <c r="K125" s="8">
        <f t="shared" si="14"/>
        <v>143430</v>
      </c>
      <c r="L125">
        <f t="shared" ca="1" si="15"/>
        <v>1</v>
      </c>
    </row>
    <row r="126" spans="1:12">
      <c r="A126" s="5" t="s">
        <v>38</v>
      </c>
      <c r="H126" s="5" t="s">
        <v>292</v>
      </c>
      <c r="I126" s="5">
        <f t="shared" si="12"/>
        <v>94859710</v>
      </c>
      <c r="J126" t="str">
        <f t="shared" si="13"/>
        <v xml:space="preserve">EPRISE                </v>
      </c>
      <c r="K126" s="8">
        <f t="shared" si="14"/>
        <v>125930</v>
      </c>
      <c r="L126">
        <f t="shared" ca="1" si="15"/>
        <v>1</v>
      </c>
    </row>
    <row r="127" spans="1:12">
      <c r="A127" s="5" t="s">
        <v>39</v>
      </c>
      <c r="H127" s="5" t="s">
        <v>290</v>
      </c>
      <c r="I127" s="5">
        <f t="shared" si="12"/>
        <v>94859710</v>
      </c>
      <c r="J127" t="str">
        <f t="shared" si="13"/>
        <v xml:space="preserve">EPRISE                </v>
      </c>
      <c r="K127" s="8">
        <f t="shared" si="14"/>
        <v>143430</v>
      </c>
      <c r="L127">
        <f t="shared" ca="1" si="15"/>
        <v>1</v>
      </c>
    </row>
    <row r="128" spans="1:12">
      <c r="A128" s="6"/>
      <c r="H128" s="5" t="s">
        <v>237</v>
      </c>
      <c r="I128" s="5">
        <f t="shared" si="12"/>
        <v>94859827</v>
      </c>
      <c r="J128" t="str">
        <f t="shared" si="13"/>
        <v xml:space="preserve">VENEZIA               </v>
      </c>
      <c r="K128" s="8">
        <f t="shared" si="14"/>
        <v>100000</v>
      </c>
      <c r="L128">
        <f t="shared" ca="1" si="15"/>
        <v>1</v>
      </c>
    </row>
    <row r="129" spans="1:12">
      <c r="A129" s="5" t="s">
        <v>48</v>
      </c>
      <c r="H129" s="5" t="s">
        <v>237</v>
      </c>
      <c r="I129" s="5">
        <f t="shared" si="12"/>
        <v>94859827</v>
      </c>
      <c r="J129" t="str">
        <f t="shared" si="13"/>
        <v xml:space="preserve">VENEZIA               </v>
      </c>
      <c r="K129" s="8">
        <f t="shared" si="14"/>
        <v>100000</v>
      </c>
      <c r="L129">
        <f t="shared" ca="1" si="15"/>
        <v>1</v>
      </c>
    </row>
    <row r="130" spans="1:12">
      <c r="A130" s="5" t="s">
        <v>49</v>
      </c>
      <c r="H130" s="5" t="s">
        <v>281</v>
      </c>
      <c r="I130" s="5">
        <f t="shared" si="12"/>
        <v>94859827</v>
      </c>
      <c r="J130" t="str">
        <f t="shared" si="13"/>
        <v xml:space="preserve">VENEZIA               </v>
      </c>
      <c r="K130" s="8">
        <f t="shared" si="14"/>
        <v>120000</v>
      </c>
      <c r="L130">
        <f t="shared" ref="L130:L158" ca="1" si="16">IFERROR((--LEFT(INDIRECT("A"&amp;MATCH(H130,A:A,0)+1),FIND("@",INDIRECT("A"&amp;MATCH(H130,A:A,0)+1))-1)),1)</f>
        <v>1</v>
      </c>
    </row>
    <row r="131" spans="1:12">
      <c r="A131" s="6"/>
      <c r="H131" s="5" t="s">
        <v>281</v>
      </c>
      <c r="I131" s="5">
        <f t="shared" ref="I131:I158" si="17">LEFT(H131,FIND(" ",H131))-1</f>
        <v>94859827</v>
      </c>
      <c r="J131" t="str">
        <f t="shared" ref="J131:J158" si="18">MID(H131,FIND(" ",H131)+1,LEN(H131)-(FIND(" ",H131)+1)-(LEN(H131)-FIND("]",SUBSTITUTE(H131," ","]",LEN(H131)-LEN(SUBSTITUTE(H131," ",""))))))</f>
        <v xml:space="preserve">VENEZIA               </v>
      </c>
      <c r="K131" s="8">
        <f t="shared" ref="K131:K158" si="19">VALUE(SUBSTITUTE(RIGHT(H131,LEN(H131)-FIND("]",(SUBSTITUTE(H131," ","]",LEN(H131)-LEN(SUBSTITUTE(H131," ","")))))),"S",""))</f>
        <v>120000</v>
      </c>
      <c r="L131">
        <f t="shared" ca="1" si="16"/>
        <v>1</v>
      </c>
    </row>
    <row r="132" spans="1:12">
      <c r="A132" s="6"/>
      <c r="H132" s="5" t="s">
        <v>87</v>
      </c>
      <c r="I132" s="5">
        <f t="shared" si="17"/>
        <v>94859827</v>
      </c>
      <c r="J132" t="str">
        <f t="shared" si="18"/>
        <v xml:space="preserve">VENEZIA               </v>
      </c>
      <c r="K132" s="8">
        <f t="shared" si="19"/>
        <v>180000</v>
      </c>
      <c r="L132">
        <f t="shared" ca="1" si="16"/>
        <v>1</v>
      </c>
    </row>
    <row r="133" spans="1:12">
      <c r="A133" s="6"/>
      <c r="H133" s="5" t="s">
        <v>87</v>
      </c>
      <c r="I133" s="5">
        <f t="shared" si="17"/>
        <v>94859827</v>
      </c>
      <c r="J133" t="str">
        <f t="shared" si="18"/>
        <v xml:space="preserve">VENEZIA               </v>
      </c>
      <c r="K133" s="8">
        <f t="shared" si="19"/>
        <v>180000</v>
      </c>
      <c r="L133">
        <f t="shared" ca="1" si="16"/>
        <v>1</v>
      </c>
    </row>
    <row r="134" spans="1:12">
      <c r="A134" s="6"/>
      <c r="H134" s="5" t="s">
        <v>87</v>
      </c>
      <c r="I134" s="5">
        <f t="shared" si="17"/>
        <v>94859827</v>
      </c>
      <c r="J134" t="str">
        <f t="shared" si="18"/>
        <v xml:space="preserve">VENEZIA               </v>
      </c>
      <c r="K134" s="8">
        <f t="shared" si="19"/>
        <v>180000</v>
      </c>
      <c r="L134">
        <f t="shared" ca="1" si="16"/>
        <v>1</v>
      </c>
    </row>
    <row r="135" spans="1:12">
      <c r="A135" s="5" t="s">
        <v>6</v>
      </c>
      <c r="H135" s="5" t="s">
        <v>87</v>
      </c>
      <c r="I135" s="5">
        <f t="shared" si="17"/>
        <v>94859827</v>
      </c>
      <c r="J135" t="str">
        <f t="shared" si="18"/>
        <v xml:space="preserve">VENEZIA               </v>
      </c>
      <c r="K135" s="8">
        <f t="shared" si="19"/>
        <v>180000</v>
      </c>
      <c r="L135">
        <f t="shared" ca="1" si="16"/>
        <v>1</v>
      </c>
    </row>
    <row r="136" spans="1:12">
      <c r="A136" s="5" t="s">
        <v>40</v>
      </c>
      <c r="H136" s="5" t="s">
        <v>87</v>
      </c>
      <c r="I136" s="5">
        <f t="shared" si="17"/>
        <v>94859827</v>
      </c>
      <c r="J136" t="str">
        <f t="shared" si="18"/>
        <v xml:space="preserve">VENEZIA               </v>
      </c>
      <c r="K136" s="8">
        <f t="shared" si="19"/>
        <v>180000</v>
      </c>
      <c r="L136">
        <f t="shared" ca="1" si="16"/>
        <v>1</v>
      </c>
    </row>
    <row r="137" spans="1:12">
      <c r="A137" s="6"/>
      <c r="H137" s="5" t="s">
        <v>87</v>
      </c>
      <c r="I137" s="5">
        <f t="shared" si="17"/>
        <v>94859827</v>
      </c>
      <c r="J137" t="str">
        <f t="shared" si="18"/>
        <v xml:space="preserve">VENEZIA               </v>
      </c>
      <c r="K137" s="8">
        <f t="shared" si="19"/>
        <v>180000</v>
      </c>
      <c r="L137">
        <f t="shared" ca="1" si="16"/>
        <v>1</v>
      </c>
    </row>
    <row r="138" spans="1:12">
      <c r="A138" s="5" t="s">
        <v>41</v>
      </c>
      <c r="H138" s="5" t="s">
        <v>87</v>
      </c>
      <c r="I138" s="5">
        <f t="shared" si="17"/>
        <v>94859827</v>
      </c>
      <c r="J138" t="str">
        <f t="shared" si="18"/>
        <v xml:space="preserve">VENEZIA               </v>
      </c>
      <c r="K138" s="8">
        <f t="shared" si="19"/>
        <v>180000</v>
      </c>
      <c r="L138">
        <f t="shared" ca="1" si="16"/>
        <v>1</v>
      </c>
    </row>
    <row r="139" spans="1:12">
      <c r="A139" s="6"/>
      <c r="H139" s="5" t="s">
        <v>57</v>
      </c>
      <c r="I139" s="5">
        <f t="shared" si="17"/>
        <v>94899801</v>
      </c>
      <c r="J139" t="str">
        <f t="shared" si="18"/>
        <v xml:space="preserve">N &amp; M                  </v>
      </c>
      <c r="K139" s="8">
        <f t="shared" si="19"/>
        <v>93000</v>
      </c>
      <c r="L139">
        <f t="shared" ca="1" si="16"/>
        <v>1</v>
      </c>
    </row>
    <row r="140" spans="1:12">
      <c r="A140" s="5" t="s">
        <v>42</v>
      </c>
      <c r="H140" s="5" t="s">
        <v>57</v>
      </c>
      <c r="I140" s="5">
        <f t="shared" si="17"/>
        <v>94899801</v>
      </c>
      <c r="J140" t="str">
        <f t="shared" si="18"/>
        <v xml:space="preserve">N &amp; M                  </v>
      </c>
      <c r="K140" s="8">
        <f t="shared" si="19"/>
        <v>93000</v>
      </c>
      <c r="L140">
        <f t="shared" ca="1" si="16"/>
        <v>1</v>
      </c>
    </row>
    <row r="141" spans="1:12">
      <c r="A141" s="6"/>
      <c r="H141" s="5" t="s">
        <v>363</v>
      </c>
      <c r="I141" s="5">
        <f t="shared" si="17"/>
        <v>94899801</v>
      </c>
      <c r="J141" t="str">
        <f t="shared" si="18"/>
        <v xml:space="preserve">N &amp; M                 </v>
      </c>
      <c r="K141" s="8">
        <f t="shared" si="19"/>
        <v>111000</v>
      </c>
      <c r="L141">
        <f t="shared" ca="1" si="16"/>
        <v>1</v>
      </c>
    </row>
    <row r="142" spans="1:12">
      <c r="A142" s="5" t="s">
        <v>43</v>
      </c>
      <c r="H142" s="5" t="s">
        <v>364</v>
      </c>
      <c r="I142" s="5">
        <f t="shared" si="17"/>
        <v>94899801</v>
      </c>
      <c r="J142" t="str">
        <f t="shared" si="18"/>
        <v xml:space="preserve">N &amp; M                 </v>
      </c>
      <c r="K142" s="8">
        <f t="shared" si="19"/>
        <v>117000</v>
      </c>
      <c r="L142">
        <f t="shared" ca="1" si="16"/>
        <v>1</v>
      </c>
    </row>
    <row r="143" spans="1:12">
      <c r="A143" s="5" t="s">
        <v>44</v>
      </c>
      <c r="H143" s="5" t="s">
        <v>109</v>
      </c>
      <c r="I143" s="5">
        <f t="shared" si="17"/>
        <v>94904812</v>
      </c>
      <c r="J143" t="str">
        <f t="shared" si="18"/>
        <v xml:space="preserve">FLADEO                 </v>
      </c>
      <c r="K143" s="8">
        <f t="shared" si="19"/>
        <v>99000</v>
      </c>
      <c r="L143">
        <f t="shared" ca="1" si="16"/>
        <v>1</v>
      </c>
    </row>
    <row r="144" spans="1:12">
      <c r="A144" s="5" t="s">
        <v>45</v>
      </c>
      <c r="H144" s="5" t="s">
        <v>109</v>
      </c>
      <c r="I144" s="5">
        <f t="shared" si="17"/>
        <v>94904812</v>
      </c>
      <c r="J144" t="str">
        <f t="shared" si="18"/>
        <v xml:space="preserve">FLADEO                 </v>
      </c>
      <c r="K144" s="8">
        <f t="shared" si="19"/>
        <v>99000</v>
      </c>
      <c r="L144">
        <f t="shared" ca="1" si="16"/>
        <v>1</v>
      </c>
    </row>
    <row r="145" spans="1:12">
      <c r="A145" s="5" t="s">
        <v>46</v>
      </c>
      <c r="H145" s="5" t="s">
        <v>109</v>
      </c>
      <c r="I145" s="5">
        <f t="shared" si="17"/>
        <v>94904812</v>
      </c>
      <c r="J145" t="str">
        <f t="shared" si="18"/>
        <v xml:space="preserve">FLADEO                 </v>
      </c>
      <c r="K145" s="8">
        <f t="shared" si="19"/>
        <v>99000</v>
      </c>
      <c r="L145">
        <f t="shared" ca="1" si="16"/>
        <v>1</v>
      </c>
    </row>
    <row r="146" spans="1:12">
      <c r="A146" s="5" t="s">
        <v>47</v>
      </c>
      <c r="H146" s="5" t="s">
        <v>109</v>
      </c>
      <c r="I146" s="5">
        <f t="shared" si="17"/>
        <v>94904812</v>
      </c>
      <c r="J146" t="str">
        <f t="shared" si="18"/>
        <v xml:space="preserve">FLADEO                 </v>
      </c>
      <c r="K146" s="8">
        <f t="shared" si="19"/>
        <v>99000</v>
      </c>
      <c r="L146">
        <f t="shared" ca="1" si="16"/>
        <v>1</v>
      </c>
    </row>
    <row r="147" spans="1:12">
      <c r="A147" s="5" t="s">
        <v>37</v>
      </c>
      <c r="H147" s="5" t="s">
        <v>109</v>
      </c>
      <c r="I147" s="5">
        <f t="shared" si="17"/>
        <v>94904812</v>
      </c>
      <c r="J147" t="str">
        <f t="shared" si="18"/>
        <v xml:space="preserve">FLADEO                 </v>
      </c>
      <c r="K147" s="8">
        <f t="shared" si="19"/>
        <v>99000</v>
      </c>
      <c r="L147">
        <f t="shared" ca="1" si="16"/>
        <v>1</v>
      </c>
    </row>
    <row r="148" spans="1:12">
      <c r="A148" s="6"/>
      <c r="H148" s="5" t="s">
        <v>109</v>
      </c>
      <c r="I148" s="5">
        <f t="shared" si="17"/>
        <v>94904812</v>
      </c>
      <c r="J148" t="str">
        <f t="shared" si="18"/>
        <v xml:space="preserve">FLADEO                 </v>
      </c>
      <c r="K148" s="8">
        <f t="shared" si="19"/>
        <v>99000</v>
      </c>
      <c r="L148">
        <f t="shared" ca="1" si="16"/>
        <v>1</v>
      </c>
    </row>
    <row r="149" spans="1:12">
      <c r="A149" s="5" t="s">
        <v>48</v>
      </c>
      <c r="H149" s="5" t="s">
        <v>109</v>
      </c>
      <c r="I149" s="5">
        <f t="shared" si="17"/>
        <v>94904812</v>
      </c>
      <c r="J149" t="str">
        <f t="shared" si="18"/>
        <v xml:space="preserve">FLADEO                 </v>
      </c>
      <c r="K149" s="8">
        <f t="shared" si="19"/>
        <v>99000</v>
      </c>
      <c r="L149">
        <f t="shared" ca="1" si="16"/>
        <v>1</v>
      </c>
    </row>
    <row r="150" spans="1:12">
      <c r="A150" s="5" t="s">
        <v>49</v>
      </c>
      <c r="H150" s="5" t="s">
        <v>151</v>
      </c>
      <c r="I150" s="5">
        <f t="shared" si="17"/>
        <v>94905124</v>
      </c>
      <c r="J150" t="str">
        <f t="shared" si="18"/>
        <v xml:space="preserve">FLADEO                </v>
      </c>
      <c r="K150" s="8">
        <f t="shared" si="19"/>
        <v>125650</v>
      </c>
      <c r="L150">
        <f t="shared" ca="1" si="16"/>
        <v>1</v>
      </c>
    </row>
    <row r="151" spans="1:12">
      <c r="A151" s="6"/>
      <c r="H151" s="5" t="s">
        <v>151</v>
      </c>
      <c r="I151" s="5">
        <f t="shared" si="17"/>
        <v>94905124</v>
      </c>
      <c r="J151" t="str">
        <f t="shared" si="18"/>
        <v xml:space="preserve">FLADEO                </v>
      </c>
      <c r="K151" s="8">
        <f t="shared" si="19"/>
        <v>125650</v>
      </c>
      <c r="L151">
        <f t="shared" ca="1" si="16"/>
        <v>1</v>
      </c>
    </row>
    <row r="152" spans="1:12">
      <c r="A152" s="6"/>
      <c r="H152" s="5" t="s">
        <v>151</v>
      </c>
      <c r="I152" s="5">
        <f t="shared" si="17"/>
        <v>94905124</v>
      </c>
      <c r="J152" t="str">
        <f t="shared" si="18"/>
        <v xml:space="preserve">FLADEO                </v>
      </c>
      <c r="K152" s="8">
        <f t="shared" si="19"/>
        <v>125650</v>
      </c>
      <c r="L152">
        <f t="shared" ca="1" si="16"/>
        <v>1</v>
      </c>
    </row>
    <row r="153" spans="1:12">
      <c r="A153" s="5" t="s">
        <v>3</v>
      </c>
      <c r="H153" s="5" t="s">
        <v>124</v>
      </c>
      <c r="I153" s="5">
        <f t="shared" si="17"/>
        <v>94905124</v>
      </c>
      <c r="J153" t="str">
        <f t="shared" si="18"/>
        <v xml:space="preserve">FLADEO                </v>
      </c>
      <c r="K153" s="8">
        <f t="shared" si="19"/>
        <v>125965</v>
      </c>
      <c r="L153">
        <f t="shared" ca="1" si="16"/>
        <v>1</v>
      </c>
    </row>
    <row r="154" spans="1:12">
      <c r="A154" s="5" t="s">
        <v>4</v>
      </c>
      <c r="H154" s="5" t="s">
        <v>345</v>
      </c>
      <c r="I154" s="5">
        <f t="shared" si="17"/>
        <v>94905124</v>
      </c>
      <c r="J154" t="str">
        <f t="shared" si="18"/>
        <v xml:space="preserve">FLADEO                </v>
      </c>
      <c r="K154" s="8">
        <f t="shared" si="19"/>
        <v>139650</v>
      </c>
      <c r="L154">
        <f t="shared" ca="1" si="16"/>
        <v>1</v>
      </c>
    </row>
    <row r="155" spans="1:12">
      <c r="A155" s="5" t="s">
        <v>5</v>
      </c>
      <c r="H155" s="5" t="s">
        <v>50</v>
      </c>
      <c r="I155" s="5">
        <f t="shared" si="17"/>
        <v>94905124</v>
      </c>
      <c r="J155" t="str">
        <f t="shared" si="18"/>
        <v xml:space="preserve">FLADEO                </v>
      </c>
      <c r="K155" s="8">
        <f t="shared" si="19"/>
        <v>139700</v>
      </c>
      <c r="L155">
        <f t="shared" ca="1" si="16"/>
        <v>1</v>
      </c>
    </row>
    <row r="156" spans="1:12">
      <c r="A156" s="5" t="s">
        <v>6</v>
      </c>
      <c r="H156" s="5" t="s">
        <v>50</v>
      </c>
      <c r="I156" s="5">
        <f t="shared" si="17"/>
        <v>94905124</v>
      </c>
      <c r="J156" t="str">
        <f t="shared" si="18"/>
        <v xml:space="preserve">FLADEO                </v>
      </c>
      <c r="K156" s="8">
        <f t="shared" si="19"/>
        <v>139700</v>
      </c>
      <c r="L156">
        <f t="shared" ca="1" si="16"/>
        <v>1</v>
      </c>
    </row>
    <row r="157" spans="1:12">
      <c r="A157" s="5" t="s">
        <v>7</v>
      </c>
      <c r="H157" s="5" t="s">
        <v>50</v>
      </c>
      <c r="I157" s="5">
        <f t="shared" si="17"/>
        <v>94905124</v>
      </c>
      <c r="J157" t="str">
        <f t="shared" si="18"/>
        <v xml:space="preserve">FLADEO                </v>
      </c>
      <c r="K157" s="8">
        <f t="shared" si="19"/>
        <v>139700</v>
      </c>
      <c r="L157">
        <f t="shared" ca="1" si="16"/>
        <v>1</v>
      </c>
    </row>
    <row r="158" spans="1:12">
      <c r="A158" s="5" t="s">
        <v>6</v>
      </c>
      <c r="H158" s="5" t="s">
        <v>50</v>
      </c>
      <c r="I158" s="5">
        <f t="shared" si="17"/>
        <v>94905124</v>
      </c>
      <c r="J158" t="str">
        <f t="shared" si="18"/>
        <v xml:space="preserve">FLADEO                </v>
      </c>
      <c r="K158" s="8">
        <f t="shared" si="19"/>
        <v>139700</v>
      </c>
      <c r="L158">
        <f t="shared" ca="1" si="16"/>
        <v>1</v>
      </c>
    </row>
    <row r="159" spans="1:12">
      <c r="A159" s="5" t="s">
        <v>55</v>
      </c>
      <c r="K159" s="9">
        <f t="shared" ref="K159:L159" si="20">SUM(K2:K158)</f>
        <v>8994590</v>
      </c>
      <c r="L159" s="9">
        <f t="shared" ca="1" si="20"/>
        <v>169</v>
      </c>
    </row>
    <row r="160" spans="1:12">
      <c r="A160" s="5" t="s">
        <v>56</v>
      </c>
    </row>
    <row r="161" spans="1:1">
      <c r="A161" s="6"/>
    </row>
    <row r="162" spans="1:1">
      <c r="A162" s="5" t="s">
        <v>57</v>
      </c>
    </row>
    <row r="163" spans="1:1">
      <c r="A163" s="5" t="s">
        <v>58</v>
      </c>
    </row>
    <row r="164" spans="1:1">
      <c r="A164" s="5" t="s">
        <v>59</v>
      </c>
    </row>
    <row r="165" spans="1:1">
      <c r="A165" s="5" t="s">
        <v>60</v>
      </c>
    </row>
    <row r="166" spans="1:1">
      <c r="A166" s="5" t="s">
        <v>61</v>
      </c>
    </row>
    <row r="167" spans="1:1">
      <c r="A167" s="5" t="s">
        <v>6</v>
      </c>
    </row>
    <row r="168" spans="1:1">
      <c r="A168" s="5" t="s">
        <v>62</v>
      </c>
    </row>
    <row r="169" spans="1:1">
      <c r="A169" s="5" t="s">
        <v>63</v>
      </c>
    </row>
    <row r="170" spans="1:1">
      <c r="A170" s="5" t="s">
        <v>64</v>
      </c>
    </row>
    <row r="171" spans="1:1">
      <c r="A171" s="6"/>
    </row>
    <row r="172" spans="1:1">
      <c r="A172" s="5" t="s">
        <v>18</v>
      </c>
    </row>
    <row r="173" spans="1:1">
      <c r="A173" s="7">
        <v>181860</v>
      </c>
    </row>
    <row r="174" spans="1:1">
      <c r="A174" s="6"/>
    </row>
    <row r="175" spans="1:1">
      <c r="A175" s="5" t="s">
        <v>19</v>
      </c>
    </row>
    <row r="176" spans="1:1">
      <c r="A176" s="5" t="s">
        <v>20</v>
      </c>
    </row>
    <row r="177" spans="1:1">
      <c r="A177" s="5" t="s">
        <v>21</v>
      </c>
    </row>
    <row r="178" spans="1:1">
      <c r="A178" s="5" t="s">
        <v>22</v>
      </c>
    </row>
    <row r="179" spans="1:1">
      <c r="A179" s="5" t="s">
        <v>23</v>
      </c>
    </row>
    <row r="180" spans="1:1">
      <c r="A180" s="5" t="s">
        <v>24</v>
      </c>
    </row>
    <row r="181" spans="1:1">
      <c r="A181" s="5" t="s">
        <v>25</v>
      </c>
    </row>
    <row r="182" spans="1:1">
      <c r="A182" s="5" t="s">
        <v>26</v>
      </c>
    </row>
    <row r="183" spans="1:1">
      <c r="A183" s="5" t="s">
        <v>27</v>
      </c>
    </row>
    <row r="184" spans="1:1">
      <c r="A184" s="5" t="s">
        <v>6</v>
      </c>
    </row>
    <row r="185" spans="1:1">
      <c r="A185" s="5" t="s">
        <v>28</v>
      </c>
    </row>
    <row r="186" spans="1:1">
      <c r="A186" s="5" t="s">
        <v>29</v>
      </c>
    </row>
    <row r="187" spans="1:1">
      <c r="A187" s="6"/>
    </row>
    <row r="188" spans="1:1">
      <c r="A188" s="6"/>
    </row>
    <row r="189" spans="1:1">
      <c r="A189" s="5" t="s">
        <v>6</v>
      </c>
    </row>
    <row r="190" spans="1:1">
      <c r="A190" s="5" t="s">
        <v>30</v>
      </c>
    </row>
    <row r="191" spans="1:1">
      <c r="A191" s="6"/>
    </row>
    <row r="192" spans="1:1">
      <c r="A192" s="5" t="s">
        <v>31</v>
      </c>
    </row>
    <row r="193" spans="1:1">
      <c r="A193" s="5" t="s">
        <v>32</v>
      </c>
    </row>
    <row r="194" spans="1:1">
      <c r="A194" s="5" t="s">
        <v>33</v>
      </c>
    </row>
    <row r="195" spans="1:1">
      <c r="A195" s="5" t="s">
        <v>34</v>
      </c>
    </row>
    <row r="196" spans="1:1">
      <c r="A196" s="5" t="s">
        <v>35</v>
      </c>
    </row>
    <row r="197" spans="1:1">
      <c r="A197" s="5" t="s">
        <v>36</v>
      </c>
    </row>
    <row r="198" spans="1:1">
      <c r="A198" s="5" t="s">
        <v>37</v>
      </c>
    </row>
    <row r="199" spans="1:1">
      <c r="A199" s="5" t="s">
        <v>38</v>
      </c>
    </row>
    <row r="200" spans="1:1">
      <c r="A200" s="5" t="s">
        <v>39</v>
      </c>
    </row>
    <row r="201" spans="1:1">
      <c r="A201" s="6"/>
    </row>
    <row r="202" spans="1:1">
      <c r="A202" s="5" t="s">
        <v>55</v>
      </c>
    </row>
    <row r="203" spans="1:1">
      <c r="A203" s="5" t="s">
        <v>56</v>
      </c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5" t="s">
        <v>6</v>
      </c>
    </row>
    <row r="209" spans="1:1">
      <c r="A209" s="5" t="s">
        <v>40</v>
      </c>
    </row>
    <row r="210" spans="1:1">
      <c r="A210" s="6"/>
    </row>
    <row r="211" spans="1:1">
      <c r="A211" s="5" t="s">
        <v>41</v>
      </c>
    </row>
    <row r="212" spans="1:1">
      <c r="A212" s="6"/>
    </row>
    <row r="213" spans="1:1">
      <c r="A213" s="5" t="s">
        <v>42</v>
      </c>
    </row>
    <row r="214" spans="1:1">
      <c r="A214" s="6"/>
    </row>
    <row r="215" spans="1:1">
      <c r="A215" s="5" t="s">
        <v>43</v>
      </c>
    </row>
    <row r="216" spans="1:1">
      <c r="A216" s="5" t="s">
        <v>44</v>
      </c>
    </row>
    <row r="217" spans="1:1">
      <c r="A217" s="5" t="s">
        <v>45</v>
      </c>
    </row>
    <row r="218" spans="1:1">
      <c r="A218" s="5" t="s">
        <v>46</v>
      </c>
    </row>
    <row r="219" spans="1:1">
      <c r="A219" s="5" t="s">
        <v>47</v>
      </c>
    </row>
    <row r="220" spans="1:1">
      <c r="A220" s="5" t="s">
        <v>37</v>
      </c>
    </row>
    <row r="221" spans="1:1">
      <c r="A221" s="6"/>
    </row>
    <row r="222" spans="1:1">
      <c r="A222" s="5" t="s">
        <v>55</v>
      </c>
    </row>
    <row r="223" spans="1:1">
      <c r="A223" s="5" t="s">
        <v>56</v>
      </c>
    </row>
    <row r="224" spans="1:1">
      <c r="A224" s="6"/>
    </row>
    <row r="225" spans="1:1">
      <c r="A225" s="6"/>
    </row>
    <row r="226" spans="1:1">
      <c r="A226" s="5" t="s">
        <v>3</v>
      </c>
    </row>
    <row r="227" spans="1:1">
      <c r="A227" s="5" t="s">
        <v>4</v>
      </c>
    </row>
    <row r="228" spans="1:1">
      <c r="A228" s="5" t="s">
        <v>5</v>
      </c>
    </row>
    <row r="229" spans="1:1">
      <c r="A229" s="5" t="s">
        <v>6</v>
      </c>
    </row>
    <row r="230" spans="1:1">
      <c r="A230" s="5" t="s">
        <v>7</v>
      </c>
    </row>
    <row r="231" spans="1:1">
      <c r="A231" s="5" t="s">
        <v>6</v>
      </c>
    </row>
    <row r="232" spans="1:1">
      <c r="A232" s="5" t="s">
        <v>65</v>
      </c>
    </row>
    <row r="233" spans="1:1">
      <c r="A233" s="5" t="s">
        <v>66</v>
      </c>
    </row>
    <row r="234" spans="1:1">
      <c r="A234" s="6"/>
    </row>
    <row r="235" spans="1:1">
      <c r="A235" s="5" t="s">
        <v>67</v>
      </c>
    </row>
    <row r="236" spans="1:1">
      <c r="A236" s="5" t="s">
        <v>68</v>
      </c>
    </row>
    <row r="237" spans="1:1">
      <c r="A237" s="5" t="s">
        <v>69</v>
      </c>
    </row>
    <row r="238" spans="1:1">
      <c r="A238" s="5" t="s">
        <v>70</v>
      </c>
    </row>
    <row r="239" spans="1:1">
      <c r="A239" s="5" t="s">
        <v>71</v>
      </c>
    </row>
    <row r="240" spans="1:1">
      <c r="A240" s="5" t="s">
        <v>61</v>
      </c>
    </row>
    <row r="241" spans="1:1">
      <c r="A241" s="5" t="s">
        <v>6</v>
      </c>
    </row>
    <row r="242" spans="1:1">
      <c r="A242" s="5" t="s">
        <v>73</v>
      </c>
    </row>
    <row r="243" spans="1:1">
      <c r="A243" s="5" t="s">
        <v>63</v>
      </c>
    </row>
    <row r="244" spans="1:1">
      <c r="A244" s="5" t="s">
        <v>74</v>
      </c>
    </row>
    <row r="245" spans="1:1">
      <c r="A245" s="6"/>
    </row>
    <row r="246" spans="1:1">
      <c r="A246" s="5" t="s">
        <v>18</v>
      </c>
    </row>
    <row r="247" spans="1:1">
      <c r="A247" s="7">
        <v>79900</v>
      </c>
    </row>
    <row r="248" spans="1:1">
      <c r="A248" s="6"/>
    </row>
    <row r="249" spans="1:1">
      <c r="A249" s="5" t="s">
        <v>19</v>
      </c>
    </row>
    <row r="250" spans="1:1">
      <c r="A250" s="5" t="s">
        <v>20</v>
      </c>
    </row>
    <row r="251" spans="1:1">
      <c r="A251" s="5" t="s">
        <v>21</v>
      </c>
    </row>
    <row r="252" spans="1:1">
      <c r="A252" s="5" t="s">
        <v>22</v>
      </c>
    </row>
    <row r="253" spans="1:1">
      <c r="A253" s="5" t="s">
        <v>23</v>
      </c>
    </row>
    <row r="254" spans="1:1">
      <c r="A254" s="5" t="s">
        <v>24</v>
      </c>
    </row>
    <row r="255" spans="1:1">
      <c r="A255" s="5" t="s">
        <v>25</v>
      </c>
    </row>
    <row r="256" spans="1:1">
      <c r="A256" s="5" t="s">
        <v>26</v>
      </c>
    </row>
    <row r="257" spans="1:1">
      <c r="A257" s="5" t="s">
        <v>27</v>
      </c>
    </row>
    <row r="258" spans="1:1">
      <c r="A258" s="5" t="s">
        <v>6</v>
      </c>
    </row>
    <row r="259" spans="1:1">
      <c r="A259" s="5" t="s">
        <v>28</v>
      </c>
    </row>
    <row r="260" spans="1:1">
      <c r="A260" s="5" t="s">
        <v>29</v>
      </c>
    </row>
    <row r="261" spans="1:1">
      <c r="A261" s="6"/>
    </row>
    <row r="262" spans="1:1">
      <c r="A262" s="6"/>
    </row>
    <row r="263" spans="1:1">
      <c r="A263" s="5" t="s">
        <v>6</v>
      </c>
    </row>
    <row r="264" spans="1:1">
      <c r="A264" s="5" t="s">
        <v>30</v>
      </c>
    </row>
    <row r="265" spans="1:1">
      <c r="A265" s="6"/>
    </row>
    <row r="266" spans="1:1">
      <c r="A266" s="5" t="s">
        <v>31</v>
      </c>
    </row>
    <row r="267" spans="1:1">
      <c r="A267" s="5" t="s">
        <v>32</v>
      </c>
    </row>
    <row r="268" spans="1:1">
      <c r="A268" s="5" t="s">
        <v>33</v>
      </c>
    </row>
    <row r="269" spans="1:1">
      <c r="A269" s="5" t="s">
        <v>34</v>
      </c>
    </row>
    <row r="270" spans="1:1">
      <c r="A270" s="5" t="s">
        <v>35</v>
      </c>
    </row>
    <row r="271" spans="1:1">
      <c r="A271" s="5" t="s">
        <v>36</v>
      </c>
    </row>
    <row r="272" spans="1:1">
      <c r="A272" s="5" t="s">
        <v>37</v>
      </c>
    </row>
    <row r="273" spans="1:1">
      <c r="A273" s="5" t="s">
        <v>38</v>
      </c>
    </row>
    <row r="274" spans="1:1">
      <c r="A274" s="5" t="s">
        <v>39</v>
      </c>
    </row>
    <row r="275" spans="1:1">
      <c r="A275" s="6"/>
    </row>
    <row r="276" spans="1:1">
      <c r="A276" s="5" t="s">
        <v>65</v>
      </c>
    </row>
    <row r="277" spans="1:1">
      <c r="A277" s="5" t="s">
        <v>66</v>
      </c>
    </row>
    <row r="278" spans="1:1">
      <c r="A278" s="6"/>
    </row>
    <row r="279" spans="1:1">
      <c r="A279" s="6"/>
    </row>
    <row r="280" spans="1:1">
      <c r="A280" s="6"/>
    </row>
    <row r="281" spans="1:1">
      <c r="A281" s="6"/>
    </row>
    <row r="282" spans="1:1">
      <c r="A282" s="5" t="s">
        <v>6</v>
      </c>
    </row>
    <row r="283" spans="1:1">
      <c r="A283" s="5" t="s">
        <v>40</v>
      </c>
    </row>
    <row r="284" spans="1:1">
      <c r="A284" s="6"/>
    </row>
    <row r="285" spans="1:1">
      <c r="A285" s="5" t="s">
        <v>41</v>
      </c>
    </row>
    <row r="286" spans="1:1">
      <c r="A286" s="6"/>
    </row>
    <row r="287" spans="1:1">
      <c r="A287" s="5" t="s">
        <v>42</v>
      </c>
    </row>
    <row r="288" spans="1:1">
      <c r="A288" s="6"/>
    </row>
    <row r="289" spans="1:1">
      <c r="A289" s="5" t="s">
        <v>43</v>
      </c>
    </row>
    <row r="290" spans="1:1">
      <c r="A290" s="5" t="s">
        <v>44</v>
      </c>
    </row>
    <row r="291" spans="1:1">
      <c r="A291" s="5" t="s">
        <v>45</v>
      </c>
    </row>
    <row r="292" spans="1:1">
      <c r="A292" s="5" t="s">
        <v>46</v>
      </c>
    </row>
    <row r="293" spans="1:1">
      <c r="A293" s="5" t="s">
        <v>47</v>
      </c>
    </row>
    <row r="294" spans="1:1">
      <c r="A294" s="5" t="s">
        <v>37</v>
      </c>
    </row>
    <row r="295" spans="1:1">
      <c r="A295" s="6"/>
    </row>
    <row r="296" spans="1:1">
      <c r="A296" s="5" t="s">
        <v>65</v>
      </c>
    </row>
    <row r="297" spans="1:1">
      <c r="A297" s="5" t="s">
        <v>66</v>
      </c>
    </row>
    <row r="298" spans="1:1">
      <c r="A298" s="6"/>
    </row>
    <row r="299" spans="1:1">
      <c r="A299" s="6"/>
    </row>
    <row r="300" spans="1:1">
      <c r="A300" s="5" t="s">
        <v>3</v>
      </c>
    </row>
    <row r="301" spans="1:1">
      <c r="A301" s="5" t="s">
        <v>4</v>
      </c>
    </row>
    <row r="302" spans="1:1">
      <c r="A302" s="5" t="s">
        <v>5</v>
      </c>
    </row>
    <row r="303" spans="1:1">
      <c r="A303" s="5" t="s">
        <v>6</v>
      </c>
    </row>
    <row r="304" spans="1:1">
      <c r="A304" s="5" t="s">
        <v>7</v>
      </c>
    </row>
    <row r="305" spans="1:1">
      <c r="A305" s="5" t="s">
        <v>6</v>
      </c>
    </row>
    <row r="306" spans="1:1">
      <c r="A306" s="5" t="s">
        <v>75</v>
      </c>
    </row>
    <row r="307" spans="1:1">
      <c r="A307" s="5" t="s">
        <v>76</v>
      </c>
    </row>
    <row r="308" spans="1:1">
      <c r="A308" s="6"/>
    </row>
    <row r="309" spans="1:1">
      <c r="A309" s="5" t="s">
        <v>50</v>
      </c>
    </row>
    <row r="310" spans="1:1">
      <c r="A310" s="5" t="s">
        <v>77</v>
      </c>
    </row>
    <row r="311" spans="1:1">
      <c r="A311" s="5" t="s">
        <v>6</v>
      </c>
    </row>
    <row r="312" spans="1:1">
      <c r="A312" s="5" t="s">
        <v>51</v>
      </c>
    </row>
    <row r="313" spans="1:1">
      <c r="A313" s="5" t="s">
        <v>78</v>
      </c>
    </row>
    <row r="314" spans="1:1">
      <c r="A314" s="5" t="s">
        <v>79</v>
      </c>
    </row>
    <row r="315" spans="1:1">
      <c r="A315" s="6"/>
    </row>
    <row r="316" spans="1:1">
      <c r="A316" s="5" t="s">
        <v>19</v>
      </c>
    </row>
    <row r="317" spans="1:1">
      <c r="A317" s="5" t="s">
        <v>20</v>
      </c>
    </row>
    <row r="318" spans="1:1">
      <c r="A318" s="5" t="s">
        <v>21</v>
      </c>
    </row>
    <row r="319" spans="1:1">
      <c r="A319" s="5" t="s">
        <v>22</v>
      </c>
    </row>
    <row r="320" spans="1:1">
      <c r="A320" s="5" t="s">
        <v>23</v>
      </c>
    </row>
    <row r="321" spans="1:1">
      <c r="A321" s="5" t="s">
        <v>24</v>
      </c>
    </row>
    <row r="322" spans="1:1">
      <c r="A322" s="5" t="s">
        <v>25</v>
      </c>
    </row>
    <row r="323" spans="1:1">
      <c r="A323" s="5" t="s">
        <v>26</v>
      </c>
    </row>
    <row r="324" spans="1:1">
      <c r="A324" s="5" t="s">
        <v>27</v>
      </c>
    </row>
    <row r="325" spans="1:1">
      <c r="A325" s="5" t="s">
        <v>6</v>
      </c>
    </row>
    <row r="326" spans="1:1">
      <c r="A326" s="5" t="s">
        <v>28</v>
      </c>
    </row>
    <row r="327" spans="1:1">
      <c r="A327" s="5" t="s">
        <v>29</v>
      </c>
    </row>
    <row r="328" spans="1:1">
      <c r="A328" s="6"/>
    </row>
    <row r="329" spans="1:1">
      <c r="A329" s="6"/>
    </row>
    <row r="330" spans="1:1">
      <c r="A330" s="5" t="s">
        <v>6</v>
      </c>
    </row>
    <row r="331" spans="1:1">
      <c r="A331" s="5" t="s">
        <v>30</v>
      </c>
    </row>
    <row r="332" spans="1:1">
      <c r="A332" s="6"/>
    </row>
    <row r="333" spans="1:1">
      <c r="A333" s="5" t="s">
        <v>31</v>
      </c>
    </row>
    <row r="334" spans="1:1">
      <c r="A334" s="5" t="s">
        <v>32</v>
      </c>
    </row>
    <row r="335" spans="1:1">
      <c r="A335" s="5" t="s">
        <v>33</v>
      </c>
    </row>
    <row r="336" spans="1:1">
      <c r="A336" s="5" t="s">
        <v>34</v>
      </c>
    </row>
    <row r="337" spans="1:1">
      <c r="A337" s="5" t="s">
        <v>35</v>
      </c>
    </row>
    <row r="338" spans="1:1">
      <c r="A338" s="5" t="s">
        <v>36</v>
      </c>
    </row>
    <row r="339" spans="1:1">
      <c r="A339" s="5" t="s">
        <v>37</v>
      </c>
    </row>
    <row r="340" spans="1:1">
      <c r="A340" s="5" t="s">
        <v>38</v>
      </c>
    </row>
    <row r="341" spans="1:1">
      <c r="A341" s="5" t="s">
        <v>39</v>
      </c>
    </row>
    <row r="342" spans="1:1">
      <c r="A342" s="6"/>
    </row>
    <row r="343" spans="1:1">
      <c r="A343" s="5" t="s">
        <v>75</v>
      </c>
    </row>
    <row r="344" spans="1:1">
      <c r="A344" s="5" t="s">
        <v>76</v>
      </c>
    </row>
    <row r="345" spans="1:1">
      <c r="A345" s="6"/>
    </row>
    <row r="346" spans="1:1">
      <c r="A346" s="6"/>
    </row>
    <row r="347" spans="1:1">
      <c r="A347" s="6"/>
    </row>
    <row r="348" spans="1:1">
      <c r="A348" s="6"/>
    </row>
    <row r="349" spans="1:1">
      <c r="A349" s="5" t="s">
        <v>6</v>
      </c>
    </row>
    <row r="350" spans="1:1">
      <c r="A350" s="5" t="s">
        <v>40</v>
      </c>
    </row>
    <row r="351" spans="1:1">
      <c r="A351" s="6"/>
    </row>
    <row r="352" spans="1:1">
      <c r="A352" s="5" t="s">
        <v>41</v>
      </c>
    </row>
    <row r="353" spans="1:1">
      <c r="A353" s="6"/>
    </row>
    <row r="354" spans="1:1">
      <c r="A354" s="5" t="s">
        <v>42</v>
      </c>
    </row>
    <row r="355" spans="1:1">
      <c r="A355" s="6"/>
    </row>
    <row r="356" spans="1:1">
      <c r="A356" s="5" t="s">
        <v>43</v>
      </c>
    </row>
    <row r="357" spans="1:1">
      <c r="A357" s="5" t="s">
        <v>44</v>
      </c>
    </row>
    <row r="358" spans="1:1">
      <c r="A358" s="5" t="s">
        <v>45</v>
      </c>
    </row>
    <row r="359" spans="1:1">
      <c r="A359" s="5" t="s">
        <v>46</v>
      </c>
    </row>
    <row r="360" spans="1:1">
      <c r="A360" s="5" t="s">
        <v>47</v>
      </c>
    </row>
    <row r="361" spans="1:1">
      <c r="A361" s="5" t="s">
        <v>37</v>
      </c>
    </row>
    <row r="362" spans="1:1">
      <c r="A362" s="6"/>
    </row>
    <row r="363" spans="1:1">
      <c r="A363" s="5" t="s">
        <v>75</v>
      </c>
    </row>
    <row r="364" spans="1:1">
      <c r="A364" s="5" t="s">
        <v>76</v>
      </c>
    </row>
    <row r="365" spans="1:1">
      <c r="A365" s="6"/>
    </row>
    <row r="366" spans="1:1">
      <c r="A366" s="6"/>
    </row>
    <row r="367" spans="1:1">
      <c r="A367" s="5" t="s">
        <v>3</v>
      </c>
    </row>
    <row r="368" spans="1:1">
      <c r="A368" s="5" t="s">
        <v>4</v>
      </c>
    </row>
    <row r="369" spans="1:1">
      <c r="A369" s="5" t="s">
        <v>5</v>
      </c>
    </row>
    <row r="370" spans="1:1">
      <c r="A370" s="5" t="s">
        <v>6</v>
      </c>
    </row>
    <row r="371" spans="1:1">
      <c r="A371" s="5" t="s">
        <v>7</v>
      </c>
    </row>
    <row r="372" spans="1:1">
      <c r="A372" s="5" t="s">
        <v>6</v>
      </c>
    </row>
    <row r="373" spans="1:1">
      <c r="A373" s="5" t="s">
        <v>80</v>
      </c>
    </row>
    <row r="374" spans="1:1">
      <c r="A374" s="5" t="s">
        <v>81</v>
      </c>
    </row>
    <row r="375" spans="1:1">
      <c r="A375" s="6"/>
    </row>
    <row r="376" spans="1:1">
      <c r="A376" s="5" t="s">
        <v>82</v>
      </c>
    </row>
    <row r="377" spans="1:1">
      <c r="A377" s="5" t="s">
        <v>77</v>
      </c>
    </row>
    <row r="378" spans="1:1">
      <c r="A378" s="5" t="s">
        <v>6</v>
      </c>
    </row>
    <row r="379" spans="1:1">
      <c r="A379" s="5" t="s">
        <v>83</v>
      </c>
    </row>
    <row r="380" spans="1:1">
      <c r="A380" s="5" t="s">
        <v>17</v>
      </c>
    </row>
    <row r="381" spans="1:1">
      <c r="A381" s="5" t="s">
        <v>84</v>
      </c>
    </row>
    <row r="382" spans="1:1">
      <c r="A382" s="6"/>
    </row>
    <row r="383" spans="1:1">
      <c r="A383" s="5" t="s">
        <v>19</v>
      </c>
    </row>
    <row r="384" spans="1:1">
      <c r="A384" s="5" t="s">
        <v>20</v>
      </c>
    </row>
    <row r="385" spans="1:1">
      <c r="A385" s="5" t="s">
        <v>21</v>
      </c>
    </row>
    <row r="386" spans="1:1">
      <c r="A386" s="5" t="s">
        <v>22</v>
      </c>
    </row>
    <row r="387" spans="1:1">
      <c r="A387" s="5" t="s">
        <v>23</v>
      </c>
    </row>
    <row r="388" spans="1:1">
      <c r="A388" s="5" t="s">
        <v>24</v>
      </c>
    </row>
    <row r="389" spans="1:1">
      <c r="A389" s="5" t="s">
        <v>25</v>
      </c>
    </row>
    <row r="390" spans="1:1">
      <c r="A390" s="5" t="s">
        <v>26</v>
      </c>
    </row>
    <row r="391" spans="1:1">
      <c r="A391" s="5" t="s">
        <v>27</v>
      </c>
    </row>
    <row r="392" spans="1:1">
      <c r="A392" s="5" t="s">
        <v>6</v>
      </c>
    </row>
    <row r="393" spans="1:1">
      <c r="A393" s="5" t="s">
        <v>28</v>
      </c>
    </row>
    <row r="394" spans="1:1">
      <c r="A394" s="5" t="s">
        <v>29</v>
      </c>
    </row>
    <row r="395" spans="1:1">
      <c r="A395" s="6"/>
    </row>
    <row r="396" spans="1:1">
      <c r="A396" s="6"/>
    </row>
    <row r="397" spans="1:1">
      <c r="A397" s="5" t="s">
        <v>6</v>
      </c>
    </row>
    <row r="398" spans="1:1">
      <c r="A398" s="5" t="s">
        <v>30</v>
      </c>
    </row>
    <row r="399" spans="1:1">
      <c r="A399" s="6"/>
    </row>
    <row r="400" spans="1:1">
      <c r="A400" s="5" t="s">
        <v>31</v>
      </c>
    </row>
    <row r="401" spans="1:1">
      <c r="A401" s="5" t="s">
        <v>32</v>
      </c>
    </row>
    <row r="402" spans="1:1">
      <c r="A402" s="5" t="s">
        <v>33</v>
      </c>
    </row>
    <row r="403" spans="1:1">
      <c r="A403" s="5" t="s">
        <v>34</v>
      </c>
    </row>
    <row r="404" spans="1:1">
      <c r="A404" s="5" t="s">
        <v>35</v>
      </c>
    </row>
    <row r="405" spans="1:1">
      <c r="A405" s="5" t="s">
        <v>36</v>
      </c>
    </row>
    <row r="406" spans="1:1">
      <c r="A406" s="5" t="s">
        <v>37</v>
      </c>
    </row>
    <row r="407" spans="1:1">
      <c r="A407" s="5" t="s">
        <v>38</v>
      </c>
    </row>
    <row r="408" spans="1:1">
      <c r="A408" s="5" t="s">
        <v>39</v>
      </c>
    </row>
    <row r="409" spans="1:1">
      <c r="A409" s="6"/>
    </row>
    <row r="410" spans="1:1">
      <c r="A410" s="5" t="s">
        <v>80</v>
      </c>
    </row>
    <row r="411" spans="1:1">
      <c r="A411" s="5" t="s">
        <v>81</v>
      </c>
    </row>
    <row r="412" spans="1:1">
      <c r="A412" s="6"/>
    </row>
    <row r="413" spans="1:1">
      <c r="A413" s="6"/>
    </row>
    <row r="414" spans="1:1">
      <c r="A414" s="5" t="s">
        <v>3</v>
      </c>
    </row>
    <row r="415" spans="1:1">
      <c r="A415" s="5" t="s">
        <v>4</v>
      </c>
    </row>
    <row r="416" spans="1:1">
      <c r="A416" s="5" t="s">
        <v>5</v>
      </c>
    </row>
    <row r="417" spans="1:1">
      <c r="A417" s="5" t="s">
        <v>6</v>
      </c>
    </row>
    <row r="418" spans="1:1">
      <c r="A418" s="5" t="s">
        <v>7</v>
      </c>
    </row>
    <row r="419" spans="1:1">
      <c r="A419" s="5" t="s">
        <v>6</v>
      </c>
    </row>
    <row r="420" spans="1:1">
      <c r="A420" s="5" t="s">
        <v>85</v>
      </c>
    </row>
    <row r="421" spans="1:1">
      <c r="A421" s="5" t="s">
        <v>86</v>
      </c>
    </row>
    <row r="422" spans="1:1">
      <c r="A422" s="6"/>
    </row>
    <row r="423" spans="1:1">
      <c r="A423" s="5" t="s">
        <v>87</v>
      </c>
    </row>
    <row r="424" spans="1:1">
      <c r="A424" s="5" t="s">
        <v>88</v>
      </c>
    </row>
    <row r="425" spans="1:1">
      <c r="A425" s="5" t="s">
        <v>89</v>
      </c>
    </row>
    <row r="426" spans="1:1">
      <c r="A426" s="5" t="s">
        <v>90</v>
      </c>
    </row>
    <row r="427" spans="1:1">
      <c r="A427" s="5" t="s">
        <v>6</v>
      </c>
    </row>
    <row r="428" spans="1:1">
      <c r="A428" s="5" t="s">
        <v>91</v>
      </c>
    </row>
    <row r="429" spans="1:1">
      <c r="A429" s="5" t="s">
        <v>63</v>
      </c>
    </row>
    <row r="430" spans="1:1">
      <c r="A430" s="5" t="s">
        <v>92</v>
      </c>
    </row>
    <row r="431" spans="1:1">
      <c r="A431" s="6"/>
    </row>
    <row r="432" spans="1:1">
      <c r="A432" s="5" t="s">
        <v>18</v>
      </c>
    </row>
    <row r="433" spans="1:1">
      <c r="A433" s="7">
        <v>45000</v>
      </c>
    </row>
    <row r="434" spans="1:1">
      <c r="A434" s="6"/>
    </row>
    <row r="435" spans="1:1">
      <c r="A435" s="5" t="s">
        <v>19</v>
      </c>
    </row>
    <row r="436" spans="1:1">
      <c r="A436" s="5" t="s">
        <v>20</v>
      </c>
    </row>
    <row r="437" spans="1:1">
      <c r="A437" s="5" t="s">
        <v>21</v>
      </c>
    </row>
    <row r="438" spans="1:1">
      <c r="A438" s="5" t="s">
        <v>22</v>
      </c>
    </row>
    <row r="439" spans="1:1">
      <c r="A439" s="5" t="s">
        <v>23</v>
      </c>
    </row>
    <row r="440" spans="1:1">
      <c r="A440" s="5" t="s">
        <v>24</v>
      </c>
    </row>
    <row r="441" spans="1:1">
      <c r="A441" s="5" t="s">
        <v>25</v>
      </c>
    </row>
    <row r="442" spans="1:1">
      <c r="A442" s="5" t="s">
        <v>26</v>
      </c>
    </row>
    <row r="443" spans="1:1">
      <c r="A443" s="5" t="s">
        <v>27</v>
      </c>
    </row>
    <row r="444" spans="1:1">
      <c r="A444" s="5" t="s">
        <v>6</v>
      </c>
    </row>
    <row r="445" spans="1:1">
      <c r="A445" s="5" t="s">
        <v>28</v>
      </c>
    </row>
    <row r="446" spans="1:1">
      <c r="A446" s="5" t="s">
        <v>29</v>
      </c>
    </row>
    <row r="447" spans="1:1">
      <c r="A447" s="6"/>
    </row>
    <row r="448" spans="1:1">
      <c r="A448" s="6"/>
    </row>
    <row r="449" spans="1:1">
      <c r="A449" s="5" t="s">
        <v>6</v>
      </c>
    </row>
    <row r="450" spans="1:1">
      <c r="A450" s="5" t="s">
        <v>30</v>
      </c>
    </row>
    <row r="451" spans="1:1">
      <c r="A451" s="6"/>
    </row>
    <row r="452" spans="1:1">
      <c r="A452" s="5" t="s">
        <v>31</v>
      </c>
    </row>
    <row r="453" spans="1:1">
      <c r="A453" s="5" t="s">
        <v>32</v>
      </c>
    </row>
    <row r="454" spans="1:1">
      <c r="A454" s="5" t="s">
        <v>33</v>
      </c>
    </row>
    <row r="455" spans="1:1">
      <c r="A455" s="5" t="s">
        <v>34</v>
      </c>
    </row>
    <row r="456" spans="1:1">
      <c r="A456" s="5" t="s">
        <v>35</v>
      </c>
    </row>
    <row r="457" spans="1:1">
      <c r="A457" s="5" t="s">
        <v>36</v>
      </c>
    </row>
    <row r="458" spans="1:1">
      <c r="A458" s="5" t="s">
        <v>37</v>
      </c>
    </row>
    <row r="459" spans="1:1">
      <c r="A459" s="5" t="s">
        <v>38</v>
      </c>
    </row>
    <row r="460" spans="1:1">
      <c r="A460" s="5" t="s">
        <v>39</v>
      </c>
    </row>
    <row r="461" spans="1:1">
      <c r="A461" s="6"/>
    </row>
    <row r="462" spans="1:1">
      <c r="A462" s="5" t="s">
        <v>85</v>
      </c>
    </row>
    <row r="463" spans="1:1">
      <c r="A463" s="5" t="s">
        <v>86</v>
      </c>
    </row>
    <row r="464" spans="1:1">
      <c r="A464" s="6"/>
    </row>
    <row r="465" spans="1:1">
      <c r="A465" s="6"/>
    </row>
    <row r="466" spans="1:1">
      <c r="A466" s="6"/>
    </row>
    <row r="467" spans="1:1">
      <c r="A467" s="6"/>
    </row>
    <row r="468" spans="1:1">
      <c r="A468" s="5" t="s">
        <v>6</v>
      </c>
    </row>
    <row r="469" spans="1:1">
      <c r="A469" s="5" t="s">
        <v>40</v>
      </c>
    </row>
    <row r="470" spans="1:1">
      <c r="A470" s="6"/>
    </row>
    <row r="471" spans="1:1">
      <c r="A471" s="5" t="s">
        <v>41</v>
      </c>
    </row>
    <row r="472" spans="1:1">
      <c r="A472" s="6"/>
    </row>
    <row r="473" spans="1:1">
      <c r="A473" s="5" t="s">
        <v>42</v>
      </c>
    </row>
    <row r="474" spans="1:1">
      <c r="A474" s="6"/>
    </row>
    <row r="475" spans="1:1">
      <c r="A475" s="5" t="s">
        <v>43</v>
      </c>
    </row>
    <row r="476" spans="1:1">
      <c r="A476" s="5" t="s">
        <v>44</v>
      </c>
    </row>
    <row r="477" spans="1:1">
      <c r="A477" s="5" t="s">
        <v>45</v>
      </c>
    </row>
    <row r="478" spans="1:1">
      <c r="A478" s="5" t="s">
        <v>46</v>
      </c>
    </row>
    <row r="479" spans="1:1">
      <c r="A479" s="5" t="s">
        <v>47</v>
      </c>
    </row>
    <row r="480" spans="1:1">
      <c r="A480" s="5" t="s">
        <v>37</v>
      </c>
    </row>
    <row r="481" spans="1:1">
      <c r="A481" s="6"/>
    </row>
    <row r="482" spans="1:1">
      <c r="A482" s="5" t="s">
        <v>85</v>
      </c>
    </row>
    <row r="483" spans="1:1">
      <c r="A483" s="5" t="s">
        <v>86</v>
      </c>
    </row>
    <row r="484" spans="1:1">
      <c r="A484" s="6"/>
    </row>
    <row r="485" spans="1:1">
      <c r="A485" s="6"/>
    </row>
    <row r="486" spans="1:1">
      <c r="A486" s="5" t="s">
        <v>3</v>
      </c>
    </row>
    <row r="487" spans="1:1">
      <c r="A487" s="5" t="s">
        <v>4</v>
      </c>
    </row>
    <row r="488" spans="1:1">
      <c r="A488" s="5" t="s">
        <v>5</v>
      </c>
    </row>
    <row r="489" spans="1:1">
      <c r="A489" s="5" t="s">
        <v>6</v>
      </c>
    </row>
    <row r="490" spans="1:1">
      <c r="A490" s="5" t="s">
        <v>7</v>
      </c>
    </row>
    <row r="491" spans="1:1">
      <c r="A491" s="5" t="s">
        <v>6</v>
      </c>
    </row>
    <row r="492" spans="1:1">
      <c r="A492" s="5" t="s">
        <v>93</v>
      </c>
    </row>
    <row r="493" spans="1:1">
      <c r="A493" s="5" t="s">
        <v>94</v>
      </c>
    </row>
    <row r="494" spans="1:1">
      <c r="A494" s="6"/>
    </row>
    <row r="495" spans="1:1">
      <c r="A495" s="5" t="s">
        <v>95</v>
      </c>
    </row>
    <row r="496" spans="1:1">
      <c r="A496" s="5" t="s">
        <v>61</v>
      </c>
    </row>
    <row r="497" spans="1:1">
      <c r="A497" s="5" t="s">
        <v>6</v>
      </c>
    </row>
    <row r="498" spans="1:1">
      <c r="A498" s="5" t="s">
        <v>96</v>
      </c>
    </row>
    <row r="499" spans="1:1">
      <c r="A499" s="5" t="s">
        <v>97</v>
      </c>
    </row>
    <row r="500" spans="1:1">
      <c r="A500" s="6"/>
    </row>
    <row r="501" spans="1:1">
      <c r="A501" s="5" t="s">
        <v>19</v>
      </c>
    </row>
    <row r="502" spans="1:1">
      <c r="A502" s="5" t="s">
        <v>20</v>
      </c>
    </row>
    <row r="503" spans="1:1">
      <c r="A503" s="5" t="s">
        <v>21</v>
      </c>
    </row>
    <row r="504" spans="1:1">
      <c r="A504" s="5" t="s">
        <v>22</v>
      </c>
    </row>
    <row r="505" spans="1:1">
      <c r="A505" s="5" t="s">
        <v>23</v>
      </c>
    </row>
    <row r="506" spans="1:1">
      <c r="A506" s="5" t="s">
        <v>24</v>
      </c>
    </row>
    <row r="507" spans="1:1">
      <c r="A507" s="5" t="s">
        <v>25</v>
      </c>
    </row>
    <row r="508" spans="1:1">
      <c r="A508" s="5" t="s">
        <v>26</v>
      </c>
    </row>
    <row r="509" spans="1:1">
      <c r="A509" s="5" t="s">
        <v>27</v>
      </c>
    </row>
    <row r="510" spans="1:1">
      <c r="A510" s="5" t="s">
        <v>6</v>
      </c>
    </row>
    <row r="511" spans="1:1">
      <c r="A511" s="5" t="s">
        <v>28</v>
      </c>
    </row>
    <row r="512" spans="1:1">
      <c r="A512" s="5" t="s">
        <v>29</v>
      </c>
    </row>
    <row r="513" spans="1:1">
      <c r="A513" s="6"/>
    </row>
    <row r="514" spans="1:1">
      <c r="A514" s="6"/>
    </row>
    <row r="515" spans="1:1">
      <c r="A515" s="5" t="s">
        <v>6</v>
      </c>
    </row>
    <row r="516" spans="1:1">
      <c r="A516" s="5" t="s">
        <v>30</v>
      </c>
    </row>
    <row r="517" spans="1:1">
      <c r="A517" s="6"/>
    </row>
    <row r="518" spans="1:1">
      <c r="A518" s="5" t="s">
        <v>31</v>
      </c>
    </row>
    <row r="519" spans="1:1">
      <c r="A519" s="5" t="s">
        <v>32</v>
      </c>
    </row>
    <row r="520" spans="1:1">
      <c r="A520" s="5" t="s">
        <v>33</v>
      </c>
    </row>
    <row r="521" spans="1:1">
      <c r="A521" s="5" t="s">
        <v>34</v>
      </c>
    </row>
    <row r="522" spans="1:1">
      <c r="A522" s="5" t="s">
        <v>35</v>
      </c>
    </row>
    <row r="523" spans="1:1">
      <c r="A523" s="5" t="s">
        <v>36</v>
      </c>
    </row>
    <row r="524" spans="1:1">
      <c r="A524" s="5" t="s">
        <v>37</v>
      </c>
    </row>
    <row r="525" spans="1:1">
      <c r="A525" s="5" t="s">
        <v>38</v>
      </c>
    </row>
    <row r="526" spans="1:1">
      <c r="A526" s="5" t="s">
        <v>39</v>
      </c>
    </row>
    <row r="527" spans="1:1">
      <c r="A527" s="6"/>
    </row>
    <row r="528" spans="1:1">
      <c r="A528" s="5" t="s">
        <v>93</v>
      </c>
    </row>
    <row r="529" spans="1:1">
      <c r="A529" s="5" t="s">
        <v>94</v>
      </c>
    </row>
    <row r="530" spans="1:1">
      <c r="A530" s="6"/>
    </row>
    <row r="531" spans="1:1">
      <c r="A531" s="6"/>
    </row>
    <row r="532" spans="1:1">
      <c r="A532" s="5" t="s">
        <v>3</v>
      </c>
    </row>
    <row r="533" spans="1:1">
      <c r="A533" s="5" t="s">
        <v>4</v>
      </c>
    </row>
    <row r="534" spans="1:1">
      <c r="A534" s="5" t="s">
        <v>5</v>
      </c>
    </row>
    <row r="535" spans="1:1">
      <c r="A535" s="5" t="s">
        <v>6</v>
      </c>
    </row>
    <row r="536" spans="1:1">
      <c r="A536" s="5" t="s">
        <v>7</v>
      </c>
    </row>
    <row r="537" spans="1:1">
      <c r="A537" s="5" t="s">
        <v>6</v>
      </c>
    </row>
    <row r="538" spans="1:1">
      <c r="A538" s="5" t="s">
        <v>98</v>
      </c>
    </row>
    <row r="539" spans="1:1">
      <c r="A539" s="5" t="s">
        <v>99</v>
      </c>
    </row>
    <row r="540" spans="1:1">
      <c r="A540" s="6"/>
    </row>
    <row r="541" spans="1:1">
      <c r="A541" s="5" t="s">
        <v>12</v>
      </c>
    </row>
    <row r="542" spans="1:1">
      <c r="A542" s="5" t="s">
        <v>15</v>
      </c>
    </row>
    <row r="543" spans="1:1">
      <c r="A543" s="5" t="s">
        <v>6</v>
      </c>
    </row>
    <row r="544" spans="1:1">
      <c r="A544" s="5" t="s">
        <v>100</v>
      </c>
    </row>
    <row r="545" spans="1:1">
      <c r="A545" s="5" t="s">
        <v>17</v>
      </c>
    </row>
    <row r="546" spans="1:1">
      <c r="A546" s="6"/>
    </row>
    <row r="547" spans="1:1">
      <c r="A547" s="5" t="s">
        <v>19</v>
      </c>
    </row>
    <row r="548" spans="1:1">
      <c r="A548" s="5" t="s">
        <v>20</v>
      </c>
    </row>
    <row r="549" spans="1:1">
      <c r="A549" s="5" t="s">
        <v>21</v>
      </c>
    </row>
    <row r="550" spans="1:1">
      <c r="A550" s="5" t="s">
        <v>22</v>
      </c>
    </row>
    <row r="551" spans="1:1">
      <c r="A551" s="5" t="s">
        <v>23</v>
      </c>
    </row>
    <row r="552" spans="1:1">
      <c r="A552" s="5" t="s">
        <v>24</v>
      </c>
    </row>
    <row r="553" spans="1:1">
      <c r="A553" s="5" t="s">
        <v>25</v>
      </c>
    </row>
    <row r="554" spans="1:1">
      <c r="A554" s="5" t="s">
        <v>26</v>
      </c>
    </row>
    <row r="555" spans="1:1">
      <c r="A555" s="5" t="s">
        <v>27</v>
      </c>
    </row>
    <row r="556" spans="1:1">
      <c r="A556" s="5" t="s">
        <v>6</v>
      </c>
    </row>
    <row r="557" spans="1:1">
      <c r="A557" s="5" t="s">
        <v>28</v>
      </c>
    </row>
    <row r="558" spans="1:1">
      <c r="A558" s="5" t="s">
        <v>29</v>
      </c>
    </row>
    <row r="559" spans="1:1">
      <c r="A559" s="6"/>
    </row>
    <row r="560" spans="1:1">
      <c r="A560" s="6"/>
    </row>
    <row r="561" spans="1:1">
      <c r="A561" s="5" t="s">
        <v>6</v>
      </c>
    </row>
    <row r="562" spans="1:1">
      <c r="A562" s="5" t="s">
        <v>30</v>
      </c>
    </row>
    <row r="563" spans="1:1">
      <c r="A563" s="6"/>
    </row>
    <row r="564" spans="1:1">
      <c r="A564" s="5" t="s">
        <v>31</v>
      </c>
    </row>
    <row r="565" spans="1:1">
      <c r="A565" s="5" t="s">
        <v>32</v>
      </c>
    </row>
    <row r="566" spans="1:1">
      <c r="A566" s="5" t="s">
        <v>33</v>
      </c>
    </row>
    <row r="567" spans="1:1">
      <c r="A567" s="5" t="s">
        <v>34</v>
      </c>
    </row>
    <row r="568" spans="1:1">
      <c r="A568" s="5" t="s">
        <v>35</v>
      </c>
    </row>
    <row r="569" spans="1:1">
      <c r="A569" s="5" t="s">
        <v>36</v>
      </c>
    </row>
    <row r="570" spans="1:1">
      <c r="A570" s="5" t="s">
        <v>37</v>
      </c>
    </row>
    <row r="571" spans="1:1">
      <c r="A571" s="5" t="s">
        <v>38</v>
      </c>
    </row>
    <row r="572" spans="1:1">
      <c r="A572" s="5" t="s">
        <v>39</v>
      </c>
    </row>
    <row r="573" spans="1:1">
      <c r="A573" s="6"/>
    </row>
    <row r="574" spans="1:1">
      <c r="A574" s="5" t="s">
        <v>98</v>
      </c>
    </row>
    <row r="575" spans="1:1">
      <c r="A575" s="5" t="s">
        <v>99</v>
      </c>
    </row>
    <row r="576" spans="1:1">
      <c r="A576" s="6"/>
    </row>
    <row r="577" spans="1:1">
      <c r="A577" s="6"/>
    </row>
    <row r="578" spans="1:1">
      <c r="A578" s="6"/>
    </row>
    <row r="579" spans="1:1">
      <c r="A579" s="6"/>
    </row>
    <row r="580" spans="1:1">
      <c r="A580" s="5" t="s">
        <v>6</v>
      </c>
    </row>
    <row r="581" spans="1:1">
      <c r="A581" s="5" t="s">
        <v>40</v>
      </c>
    </row>
    <row r="582" spans="1:1">
      <c r="A582" s="6"/>
    </row>
    <row r="583" spans="1:1">
      <c r="A583" s="5" t="s">
        <v>41</v>
      </c>
    </row>
    <row r="584" spans="1:1">
      <c r="A584" s="6"/>
    </row>
    <row r="585" spans="1:1">
      <c r="A585" s="5" t="s">
        <v>42</v>
      </c>
    </row>
    <row r="586" spans="1:1">
      <c r="A586" s="6"/>
    </row>
    <row r="587" spans="1:1">
      <c r="A587" s="5" t="s">
        <v>43</v>
      </c>
    </row>
    <row r="588" spans="1:1">
      <c r="A588" s="5" t="s">
        <v>44</v>
      </c>
    </row>
    <row r="589" spans="1:1">
      <c r="A589" s="5" t="s">
        <v>45</v>
      </c>
    </row>
    <row r="590" spans="1:1">
      <c r="A590" s="5" t="s">
        <v>46</v>
      </c>
    </row>
    <row r="591" spans="1:1">
      <c r="A591" s="5" t="s">
        <v>47</v>
      </c>
    </row>
    <row r="592" spans="1:1">
      <c r="A592" s="5" t="s">
        <v>37</v>
      </c>
    </row>
    <row r="593" spans="1:1">
      <c r="A593" s="6"/>
    </row>
    <row r="594" spans="1:1">
      <c r="A594" s="5" t="s">
        <v>98</v>
      </c>
    </row>
    <row r="595" spans="1:1">
      <c r="A595" s="5" t="s">
        <v>99</v>
      </c>
    </row>
    <row r="596" spans="1:1">
      <c r="A596" s="6"/>
    </row>
    <row r="597" spans="1:1">
      <c r="A597" s="6"/>
    </row>
    <row r="598" spans="1:1">
      <c r="A598" s="5" t="s">
        <v>3</v>
      </c>
    </row>
    <row r="599" spans="1:1">
      <c r="A599" s="5" t="s">
        <v>4</v>
      </c>
    </row>
    <row r="600" spans="1:1">
      <c r="A600" s="5" t="s">
        <v>5</v>
      </c>
    </row>
    <row r="601" spans="1:1">
      <c r="A601" s="5" t="s">
        <v>6</v>
      </c>
    </row>
    <row r="602" spans="1:1">
      <c r="A602" s="5" t="s">
        <v>7</v>
      </c>
    </row>
    <row r="603" spans="1:1">
      <c r="A603" s="5" t="s">
        <v>6</v>
      </c>
    </row>
    <row r="604" spans="1:1">
      <c r="A604" s="5" t="s">
        <v>101</v>
      </c>
    </row>
    <row r="605" spans="1:1">
      <c r="A605" s="5" t="s">
        <v>102</v>
      </c>
    </row>
    <row r="606" spans="1:1">
      <c r="A606" s="6"/>
    </row>
    <row r="607" spans="1:1">
      <c r="A607" s="5" t="s">
        <v>82</v>
      </c>
    </row>
    <row r="608" spans="1:1">
      <c r="A608" s="5" t="s">
        <v>103</v>
      </c>
    </row>
    <row r="609" spans="1:1">
      <c r="A609" s="5" t="s">
        <v>6</v>
      </c>
    </row>
    <row r="610" spans="1:1">
      <c r="A610" s="5" t="s">
        <v>83</v>
      </c>
    </row>
    <row r="611" spans="1:1">
      <c r="A611" s="5" t="s">
        <v>17</v>
      </c>
    </row>
    <row r="612" spans="1:1">
      <c r="A612" s="5" t="s">
        <v>84</v>
      </c>
    </row>
    <row r="613" spans="1:1">
      <c r="A613" s="6"/>
    </row>
    <row r="614" spans="1:1">
      <c r="A614" s="5" t="s">
        <v>19</v>
      </c>
    </row>
    <row r="615" spans="1:1">
      <c r="A615" s="5" t="s">
        <v>20</v>
      </c>
    </row>
    <row r="616" spans="1:1">
      <c r="A616" s="5" t="s">
        <v>21</v>
      </c>
    </row>
    <row r="617" spans="1:1">
      <c r="A617" s="5" t="s">
        <v>22</v>
      </c>
    </row>
    <row r="618" spans="1:1">
      <c r="A618" s="5" t="s">
        <v>23</v>
      </c>
    </row>
    <row r="619" spans="1:1">
      <c r="A619" s="5" t="s">
        <v>24</v>
      </c>
    </row>
    <row r="620" spans="1:1">
      <c r="A620" s="5" t="s">
        <v>25</v>
      </c>
    </row>
    <row r="621" spans="1:1">
      <c r="A621" s="5" t="s">
        <v>26</v>
      </c>
    </row>
    <row r="622" spans="1:1">
      <c r="A622" s="5" t="s">
        <v>27</v>
      </c>
    </row>
    <row r="623" spans="1:1">
      <c r="A623" s="5" t="s">
        <v>6</v>
      </c>
    </row>
    <row r="624" spans="1:1">
      <c r="A624" s="5" t="s">
        <v>28</v>
      </c>
    </row>
    <row r="625" spans="1:1">
      <c r="A625" s="5" t="s">
        <v>29</v>
      </c>
    </row>
    <row r="626" spans="1:1">
      <c r="A626" s="6"/>
    </row>
    <row r="627" spans="1:1">
      <c r="A627" s="6"/>
    </row>
    <row r="628" spans="1:1">
      <c r="A628" s="5" t="s">
        <v>6</v>
      </c>
    </row>
    <row r="629" spans="1:1">
      <c r="A629" s="5" t="s">
        <v>30</v>
      </c>
    </row>
    <row r="630" spans="1:1">
      <c r="A630" s="6"/>
    </row>
    <row r="631" spans="1:1">
      <c r="A631" s="5" t="s">
        <v>31</v>
      </c>
    </row>
    <row r="632" spans="1:1">
      <c r="A632" s="5" t="s">
        <v>32</v>
      </c>
    </row>
    <row r="633" spans="1:1">
      <c r="A633" s="5" t="s">
        <v>33</v>
      </c>
    </row>
    <row r="634" spans="1:1">
      <c r="A634" s="5" t="s">
        <v>34</v>
      </c>
    </row>
    <row r="635" spans="1:1">
      <c r="A635" s="5" t="s">
        <v>35</v>
      </c>
    </row>
    <row r="636" spans="1:1">
      <c r="A636" s="5" t="s">
        <v>36</v>
      </c>
    </row>
    <row r="637" spans="1:1">
      <c r="A637" s="5" t="s">
        <v>37</v>
      </c>
    </row>
    <row r="638" spans="1:1">
      <c r="A638" s="5" t="s">
        <v>38</v>
      </c>
    </row>
    <row r="639" spans="1:1">
      <c r="A639" s="5" t="s">
        <v>39</v>
      </c>
    </row>
    <row r="640" spans="1:1">
      <c r="A640" s="6"/>
    </row>
    <row r="641" spans="1:1">
      <c r="A641" s="5" t="s">
        <v>101</v>
      </c>
    </row>
    <row r="642" spans="1:1">
      <c r="A642" s="5" t="s">
        <v>102</v>
      </c>
    </row>
    <row r="643" spans="1:1">
      <c r="A643" s="6"/>
    </row>
    <row r="644" spans="1:1">
      <c r="A644" s="6"/>
    </row>
    <row r="645" spans="1:1">
      <c r="A645" s="5" t="s">
        <v>3</v>
      </c>
    </row>
    <row r="646" spans="1:1">
      <c r="A646" s="5" t="s">
        <v>4</v>
      </c>
    </row>
    <row r="647" spans="1:1">
      <c r="A647" s="5" t="s">
        <v>5</v>
      </c>
    </row>
    <row r="648" spans="1:1">
      <c r="A648" s="5" t="s">
        <v>6</v>
      </c>
    </row>
    <row r="649" spans="1:1">
      <c r="A649" s="5" t="s">
        <v>7</v>
      </c>
    </row>
    <row r="650" spans="1:1">
      <c r="A650" s="5" t="s">
        <v>6</v>
      </c>
    </row>
    <row r="651" spans="1:1">
      <c r="A651" s="5" t="s">
        <v>104</v>
      </c>
    </row>
    <row r="652" spans="1:1">
      <c r="A652" s="5" t="s">
        <v>105</v>
      </c>
    </row>
    <row r="653" spans="1:1">
      <c r="A653" s="6"/>
    </row>
    <row r="654" spans="1:1">
      <c r="A654" s="5" t="s">
        <v>106</v>
      </c>
    </row>
    <row r="655" spans="1:1">
      <c r="A655" s="5" t="s">
        <v>15</v>
      </c>
    </row>
    <row r="656" spans="1:1">
      <c r="A656" s="5" t="s">
        <v>6</v>
      </c>
    </row>
    <row r="657" spans="1:1">
      <c r="A657" s="5" t="s">
        <v>91</v>
      </c>
    </row>
    <row r="658" spans="1:1">
      <c r="A658" s="5" t="s">
        <v>63</v>
      </c>
    </row>
    <row r="659" spans="1:1">
      <c r="A659" s="5" t="s">
        <v>92</v>
      </c>
    </row>
    <row r="660" spans="1:1">
      <c r="A660" s="6"/>
    </row>
    <row r="661" spans="1:1">
      <c r="A661" s="5" t="s">
        <v>19</v>
      </c>
    </row>
    <row r="662" spans="1:1">
      <c r="A662" s="5" t="s">
        <v>20</v>
      </c>
    </row>
    <row r="663" spans="1:1">
      <c r="A663" s="5" t="s">
        <v>21</v>
      </c>
    </row>
    <row r="664" spans="1:1">
      <c r="A664" s="5" t="s">
        <v>22</v>
      </c>
    </row>
    <row r="665" spans="1:1">
      <c r="A665" s="5" t="s">
        <v>23</v>
      </c>
    </row>
    <row r="666" spans="1:1">
      <c r="A666" s="5" t="s">
        <v>24</v>
      </c>
    </row>
    <row r="667" spans="1:1">
      <c r="A667" s="5" t="s">
        <v>25</v>
      </c>
    </row>
    <row r="668" spans="1:1">
      <c r="A668" s="5" t="s">
        <v>26</v>
      </c>
    </row>
    <row r="669" spans="1:1">
      <c r="A669" s="5" t="s">
        <v>27</v>
      </c>
    </row>
    <row r="670" spans="1:1">
      <c r="A670" s="5" t="s">
        <v>6</v>
      </c>
    </row>
    <row r="671" spans="1:1">
      <c r="A671" s="5" t="s">
        <v>28</v>
      </c>
    </row>
    <row r="672" spans="1:1">
      <c r="A672" s="5" t="s">
        <v>29</v>
      </c>
    </row>
    <row r="673" spans="1:1">
      <c r="A673" s="6"/>
    </row>
    <row r="674" spans="1:1">
      <c r="A674" s="6"/>
    </row>
    <row r="675" spans="1:1">
      <c r="A675" s="5" t="s">
        <v>6</v>
      </c>
    </row>
    <row r="676" spans="1:1">
      <c r="A676" s="5" t="s">
        <v>30</v>
      </c>
    </row>
    <row r="677" spans="1:1">
      <c r="A677" s="6"/>
    </row>
    <row r="678" spans="1:1">
      <c r="A678" s="5" t="s">
        <v>31</v>
      </c>
    </row>
    <row r="679" spans="1:1">
      <c r="A679" s="5" t="s">
        <v>32</v>
      </c>
    </row>
    <row r="680" spans="1:1">
      <c r="A680" s="5" t="s">
        <v>33</v>
      </c>
    </row>
    <row r="681" spans="1:1">
      <c r="A681" s="5" t="s">
        <v>34</v>
      </c>
    </row>
    <row r="682" spans="1:1">
      <c r="A682" s="5" t="s">
        <v>35</v>
      </c>
    </row>
    <row r="683" spans="1:1">
      <c r="A683" s="5" t="s">
        <v>36</v>
      </c>
    </row>
    <row r="684" spans="1:1">
      <c r="A684" s="5" t="s">
        <v>37</v>
      </c>
    </row>
    <row r="685" spans="1:1">
      <c r="A685" s="5" t="s">
        <v>38</v>
      </c>
    </row>
    <row r="686" spans="1:1">
      <c r="A686" s="5" t="s">
        <v>39</v>
      </c>
    </row>
    <row r="687" spans="1:1">
      <c r="A687" s="6"/>
    </row>
    <row r="688" spans="1:1">
      <c r="A688" s="5" t="s">
        <v>104</v>
      </c>
    </row>
    <row r="689" spans="1:1">
      <c r="A689" s="5" t="s">
        <v>105</v>
      </c>
    </row>
    <row r="690" spans="1:1">
      <c r="A690" s="6"/>
    </row>
    <row r="691" spans="1:1">
      <c r="A691" s="6"/>
    </row>
    <row r="692" spans="1:1">
      <c r="A692" s="6"/>
    </row>
    <row r="693" spans="1:1">
      <c r="A693" s="6"/>
    </row>
    <row r="694" spans="1:1">
      <c r="A694" s="5" t="s">
        <v>6</v>
      </c>
    </row>
    <row r="695" spans="1:1">
      <c r="A695" s="5" t="s">
        <v>40</v>
      </c>
    </row>
    <row r="696" spans="1:1">
      <c r="A696" s="6"/>
    </row>
    <row r="697" spans="1:1">
      <c r="A697" s="5" t="s">
        <v>41</v>
      </c>
    </row>
    <row r="698" spans="1:1">
      <c r="A698" s="6"/>
    </row>
    <row r="699" spans="1:1">
      <c r="A699" s="5" t="s">
        <v>42</v>
      </c>
    </row>
    <row r="700" spans="1:1">
      <c r="A700" s="6"/>
    </row>
    <row r="701" spans="1:1">
      <c r="A701" s="5" t="s">
        <v>43</v>
      </c>
    </row>
    <row r="702" spans="1:1">
      <c r="A702" s="5" t="s">
        <v>44</v>
      </c>
    </row>
    <row r="703" spans="1:1">
      <c r="A703" s="5" t="s">
        <v>45</v>
      </c>
    </row>
    <row r="704" spans="1:1">
      <c r="A704" s="5" t="s">
        <v>46</v>
      </c>
    </row>
    <row r="705" spans="1:1">
      <c r="A705" s="5" t="s">
        <v>47</v>
      </c>
    </row>
    <row r="706" spans="1:1">
      <c r="A706" s="5" t="s">
        <v>37</v>
      </c>
    </row>
    <row r="707" spans="1:1">
      <c r="A707" s="6"/>
    </row>
    <row r="708" spans="1:1">
      <c r="A708" s="5" t="s">
        <v>104</v>
      </c>
    </row>
    <row r="709" spans="1:1">
      <c r="A709" s="5" t="s">
        <v>105</v>
      </c>
    </row>
    <row r="710" spans="1:1">
      <c r="A710" s="6"/>
    </row>
    <row r="711" spans="1:1">
      <c r="A711" s="6"/>
    </row>
    <row r="712" spans="1:1">
      <c r="A712" s="5" t="s">
        <v>3</v>
      </c>
    </row>
    <row r="713" spans="1:1">
      <c r="A713" s="5" t="s">
        <v>4</v>
      </c>
    </row>
    <row r="714" spans="1:1">
      <c r="A714" s="5" t="s">
        <v>5</v>
      </c>
    </row>
    <row r="715" spans="1:1">
      <c r="A715" s="5" t="s">
        <v>6</v>
      </c>
    </row>
    <row r="716" spans="1:1">
      <c r="A716" s="5" t="s">
        <v>7</v>
      </c>
    </row>
    <row r="717" spans="1:1">
      <c r="A717" s="5" t="s">
        <v>6</v>
      </c>
    </row>
    <row r="718" spans="1:1">
      <c r="A718" s="5" t="s">
        <v>107</v>
      </c>
    </row>
    <row r="719" spans="1:1">
      <c r="A719" s="5" t="s">
        <v>108</v>
      </c>
    </row>
    <row r="720" spans="1:1">
      <c r="A720" s="6"/>
    </row>
    <row r="721" spans="1:1">
      <c r="A721" s="5" t="s">
        <v>109</v>
      </c>
    </row>
    <row r="722" spans="1:1">
      <c r="A722" s="5" t="s">
        <v>103</v>
      </c>
    </row>
    <row r="723" spans="1:1">
      <c r="A723" s="5" t="s">
        <v>6</v>
      </c>
    </row>
    <row r="724" spans="1:1">
      <c r="A724" s="5" t="s">
        <v>110</v>
      </c>
    </row>
    <row r="725" spans="1:1">
      <c r="A725" s="5" t="s">
        <v>17</v>
      </c>
    </row>
    <row r="726" spans="1:1">
      <c r="A726" s="5" t="s">
        <v>111</v>
      </c>
    </row>
    <row r="727" spans="1:1">
      <c r="A727" s="6"/>
    </row>
    <row r="728" spans="1:1">
      <c r="A728" s="5" t="s">
        <v>19</v>
      </c>
    </row>
    <row r="729" spans="1:1">
      <c r="A729" s="5" t="s">
        <v>20</v>
      </c>
    </row>
    <row r="730" spans="1:1">
      <c r="A730" s="5" t="s">
        <v>21</v>
      </c>
    </row>
    <row r="731" spans="1:1">
      <c r="A731" s="5" t="s">
        <v>22</v>
      </c>
    </row>
    <row r="732" spans="1:1">
      <c r="A732" s="5" t="s">
        <v>23</v>
      </c>
    </row>
    <row r="733" spans="1:1">
      <c r="A733" s="5" t="s">
        <v>24</v>
      </c>
    </row>
    <row r="734" spans="1:1">
      <c r="A734" s="5" t="s">
        <v>25</v>
      </c>
    </row>
    <row r="735" spans="1:1">
      <c r="A735" s="5" t="s">
        <v>26</v>
      </c>
    </row>
    <row r="736" spans="1:1">
      <c r="A736" s="5" t="s">
        <v>27</v>
      </c>
    </row>
    <row r="737" spans="1:1">
      <c r="A737" s="5" t="s">
        <v>6</v>
      </c>
    </row>
    <row r="738" spans="1:1">
      <c r="A738" s="5" t="s">
        <v>28</v>
      </c>
    </row>
    <row r="739" spans="1:1">
      <c r="A739" s="5" t="s">
        <v>29</v>
      </c>
    </row>
    <row r="740" spans="1:1">
      <c r="A740" s="6"/>
    </row>
    <row r="741" spans="1:1">
      <c r="A741" s="6"/>
    </row>
    <row r="742" spans="1:1">
      <c r="A742" s="5" t="s">
        <v>6</v>
      </c>
    </row>
    <row r="743" spans="1:1">
      <c r="A743" s="5" t="s">
        <v>30</v>
      </c>
    </row>
    <row r="744" spans="1:1">
      <c r="A744" s="6"/>
    </row>
    <row r="745" spans="1:1">
      <c r="A745" s="5" t="s">
        <v>31</v>
      </c>
    </row>
    <row r="746" spans="1:1">
      <c r="A746" s="5" t="s">
        <v>32</v>
      </c>
    </row>
    <row r="747" spans="1:1">
      <c r="A747" s="5" t="s">
        <v>33</v>
      </c>
    </row>
    <row r="748" spans="1:1">
      <c r="A748" s="5" t="s">
        <v>34</v>
      </c>
    </row>
    <row r="749" spans="1:1">
      <c r="A749" s="5" t="s">
        <v>35</v>
      </c>
    </row>
    <row r="750" spans="1:1">
      <c r="A750" s="5" t="s">
        <v>36</v>
      </c>
    </row>
    <row r="751" spans="1:1">
      <c r="A751" s="5" t="s">
        <v>37</v>
      </c>
    </row>
    <row r="752" spans="1:1">
      <c r="A752" s="5" t="s">
        <v>38</v>
      </c>
    </row>
    <row r="753" spans="1:1">
      <c r="A753" s="5" t="s">
        <v>39</v>
      </c>
    </row>
    <row r="754" spans="1:1">
      <c r="A754" s="6"/>
    </row>
    <row r="755" spans="1:1">
      <c r="A755" s="5" t="s">
        <v>107</v>
      </c>
    </row>
    <row r="756" spans="1:1">
      <c r="A756" s="5" t="s">
        <v>108</v>
      </c>
    </row>
    <row r="757" spans="1:1">
      <c r="A757" s="6"/>
    </row>
    <row r="758" spans="1:1">
      <c r="A758" s="6"/>
    </row>
    <row r="759" spans="1:1">
      <c r="A759" s="5" t="s">
        <v>3</v>
      </c>
    </row>
    <row r="760" spans="1:1">
      <c r="A760" s="5" t="s">
        <v>4</v>
      </c>
    </row>
    <row r="761" spans="1:1">
      <c r="A761" s="5" t="s">
        <v>5</v>
      </c>
    </row>
    <row r="762" spans="1:1">
      <c r="A762" s="5" t="s">
        <v>6</v>
      </c>
    </row>
    <row r="763" spans="1:1">
      <c r="A763" s="5" t="s">
        <v>7</v>
      </c>
    </row>
    <row r="764" spans="1:1">
      <c r="A764" s="5" t="s">
        <v>6</v>
      </c>
    </row>
    <row r="765" spans="1:1">
      <c r="A765" s="5" t="s">
        <v>112</v>
      </c>
    </row>
    <row r="766" spans="1:1">
      <c r="A766" s="5" t="s">
        <v>113</v>
      </c>
    </row>
    <row r="767" spans="1:1">
      <c r="A767" s="6"/>
    </row>
    <row r="768" spans="1:1">
      <c r="A768" s="5" t="s">
        <v>12</v>
      </c>
    </row>
    <row r="769" spans="1:1">
      <c r="A769" s="5" t="s">
        <v>13</v>
      </c>
    </row>
    <row r="770" spans="1:1">
      <c r="A770" s="5" t="s">
        <v>14</v>
      </c>
    </row>
    <row r="771" spans="1:1">
      <c r="A771" s="5" t="s">
        <v>15</v>
      </c>
    </row>
    <row r="772" spans="1:1">
      <c r="A772" s="5" t="s">
        <v>6</v>
      </c>
    </row>
    <row r="773" spans="1:1">
      <c r="A773" s="5" t="s">
        <v>16</v>
      </c>
    </row>
    <row r="774" spans="1:1">
      <c r="A774" s="5" t="s">
        <v>17</v>
      </c>
    </row>
    <row r="775" spans="1:1">
      <c r="A775" s="5" t="s">
        <v>114</v>
      </c>
    </row>
    <row r="776" spans="1:1">
      <c r="A776" s="6"/>
    </row>
    <row r="777" spans="1:1">
      <c r="A777" s="5" t="s">
        <v>18</v>
      </c>
    </row>
    <row r="778" spans="1:1">
      <c r="A778" s="7">
        <v>100000</v>
      </c>
    </row>
    <row r="779" spans="1:1">
      <c r="A779" s="6"/>
    </row>
    <row r="780" spans="1:1">
      <c r="A780" s="5" t="s">
        <v>19</v>
      </c>
    </row>
    <row r="781" spans="1:1">
      <c r="A781" s="5" t="s">
        <v>20</v>
      </c>
    </row>
    <row r="782" spans="1:1">
      <c r="A782" s="5" t="s">
        <v>21</v>
      </c>
    </row>
    <row r="783" spans="1:1">
      <c r="A783" s="5" t="s">
        <v>22</v>
      </c>
    </row>
    <row r="784" spans="1:1">
      <c r="A784" s="5" t="s">
        <v>23</v>
      </c>
    </row>
    <row r="785" spans="1:1">
      <c r="A785" s="5" t="s">
        <v>24</v>
      </c>
    </row>
    <row r="786" spans="1:1">
      <c r="A786" s="5" t="s">
        <v>25</v>
      </c>
    </row>
    <row r="787" spans="1:1">
      <c r="A787" s="5" t="s">
        <v>26</v>
      </c>
    </row>
    <row r="788" spans="1:1">
      <c r="A788" s="5" t="s">
        <v>27</v>
      </c>
    </row>
    <row r="789" spans="1:1">
      <c r="A789" s="5" t="s">
        <v>6</v>
      </c>
    </row>
    <row r="790" spans="1:1">
      <c r="A790" s="5" t="s">
        <v>28</v>
      </c>
    </row>
    <row r="791" spans="1:1">
      <c r="A791" s="5" t="s">
        <v>29</v>
      </c>
    </row>
    <row r="792" spans="1:1">
      <c r="A792" s="6"/>
    </row>
    <row r="793" spans="1:1">
      <c r="A793" s="6"/>
    </row>
    <row r="794" spans="1:1">
      <c r="A794" s="5" t="s">
        <v>6</v>
      </c>
    </row>
    <row r="795" spans="1:1">
      <c r="A795" s="5" t="s">
        <v>30</v>
      </c>
    </row>
    <row r="796" spans="1:1">
      <c r="A796" s="6"/>
    </row>
    <row r="797" spans="1:1">
      <c r="A797" s="5" t="s">
        <v>31</v>
      </c>
    </row>
    <row r="798" spans="1:1">
      <c r="A798" s="5" t="s">
        <v>32</v>
      </c>
    </row>
    <row r="799" spans="1:1">
      <c r="A799" s="5" t="s">
        <v>33</v>
      </c>
    </row>
    <row r="800" spans="1:1">
      <c r="A800" s="5" t="s">
        <v>34</v>
      </c>
    </row>
    <row r="801" spans="1:1">
      <c r="A801" s="5" t="s">
        <v>35</v>
      </c>
    </row>
    <row r="802" spans="1:1">
      <c r="A802" s="5" t="s">
        <v>36</v>
      </c>
    </row>
    <row r="803" spans="1:1">
      <c r="A803" s="5" t="s">
        <v>37</v>
      </c>
    </row>
    <row r="804" spans="1:1">
      <c r="A804" s="5" t="s">
        <v>38</v>
      </c>
    </row>
    <row r="805" spans="1:1">
      <c r="A805" s="5" t="s">
        <v>39</v>
      </c>
    </row>
    <row r="806" spans="1:1">
      <c r="A806" s="6"/>
    </row>
    <row r="807" spans="1:1">
      <c r="A807" s="5" t="s">
        <v>112</v>
      </c>
    </row>
    <row r="808" spans="1:1">
      <c r="A808" s="5" t="s">
        <v>113</v>
      </c>
    </row>
    <row r="809" spans="1:1">
      <c r="A809" s="6"/>
    </row>
    <row r="810" spans="1:1">
      <c r="A810" s="6"/>
    </row>
    <row r="811" spans="1:1">
      <c r="A811" s="6"/>
    </row>
    <row r="812" spans="1:1">
      <c r="A812" s="6"/>
    </row>
    <row r="813" spans="1:1">
      <c r="A813" s="5" t="s">
        <v>6</v>
      </c>
    </row>
    <row r="814" spans="1:1">
      <c r="A814" s="5" t="s">
        <v>40</v>
      </c>
    </row>
    <row r="815" spans="1:1">
      <c r="A815" s="6"/>
    </row>
    <row r="816" spans="1:1">
      <c r="A816" s="5" t="s">
        <v>41</v>
      </c>
    </row>
    <row r="817" spans="1:1">
      <c r="A817" s="6"/>
    </row>
    <row r="818" spans="1:1">
      <c r="A818" s="5" t="s">
        <v>42</v>
      </c>
    </row>
    <row r="819" spans="1:1">
      <c r="A819" s="6"/>
    </row>
    <row r="820" spans="1:1">
      <c r="A820" s="5" t="s">
        <v>43</v>
      </c>
    </row>
    <row r="821" spans="1:1">
      <c r="A821" s="5" t="s">
        <v>44</v>
      </c>
    </row>
    <row r="822" spans="1:1">
      <c r="A822" s="5" t="s">
        <v>45</v>
      </c>
    </row>
    <row r="823" spans="1:1">
      <c r="A823" s="5" t="s">
        <v>46</v>
      </c>
    </row>
    <row r="824" spans="1:1">
      <c r="A824" s="5" t="s">
        <v>47</v>
      </c>
    </row>
    <row r="825" spans="1:1">
      <c r="A825" s="5" t="s">
        <v>37</v>
      </c>
    </row>
    <row r="826" spans="1:1">
      <c r="A826" s="6"/>
    </row>
    <row r="827" spans="1:1">
      <c r="A827" s="5" t="s">
        <v>112</v>
      </c>
    </row>
    <row r="828" spans="1:1">
      <c r="A828" s="5" t="s">
        <v>113</v>
      </c>
    </row>
    <row r="829" spans="1:1">
      <c r="A829" s="6"/>
    </row>
    <row r="830" spans="1:1">
      <c r="A830" s="6"/>
    </row>
    <row r="831" spans="1:1">
      <c r="A831" s="5" t="s">
        <v>3</v>
      </c>
    </row>
    <row r="832" spans="1:1">
      <c r="A832" s="5" t="s">
        <v>4</v>
      </c>
    </row>
    <row r="833" spans="1:1">
      <c r="A833" s="5" t="s">
        <v>5</v>
      </c>
    </row>
    <row r="834" spans="1:1">
      <c r="A834" s="5" t="s">
        <v>6</v>
      </c>
    </row>
    <row r="835" spans="1:1">
      <c r="A835" s="5" t="s">
        <v>7</v>
      </c>
    </row>
    <row r="836" spans="1:1">
      <c r="A836" s="5" t="s">
        <v>6</v>
      </c>
    </row>
    <row r="837" spans="1:1">
      <c r="A837" s="5" t="s">
        <v>115</v>
      </c>
    </row>
    <row r="838" spans="1:1">
      <c r="A838" s="5" t="s">
        <v>116</v>
      </c>
    </row>
    <row r="839" spans="1:1">
      <c r="A839" s="6"/>
    </row>
    <row r="840" spans="1:1">
      <c r="A840" s="5" t="s">
        <v>50</v>
      </c>
    </row>
    <row r="841" spans="1:1">
      <c r="A841" s="5" t="s">
        <v>103</v>
      </c>
    </row>
    <row r="842" spans="1:1">
      <c r="A842" s="5" t="s">
        <v>6</v>
      </c>
    </row>
    <row r="843" spans="1:1">
      <c r="A843" s="5" t="s">
        <v>51</v>
      </c>
    </row>
    <row r="844" spans="1:1">
      <c r="A844" s="5" t="s">
        <v>52</v>
      </c>
    </row>
    <row r="845" spans="1:1">
      <c r="A845" s="5" t="s">
        <v>53</v>
      </c>
    </row>
    <row r="846" spans="1:1">
      <c r="A846" s="6"/>
    </row>
    <row r="847" spans="1:1">
      <c r="A847" s="5" t="s">
        <v>19</v>
      </c>
    </row>
    <row r="848" spans="1:1">
      <c r="A848" s="5" t="s">
        <v>20</v>
      </c>
    </row>
    <row r="849" spans="1:1">
      <c r="A849" s="5" t="s">
        <v>21</v>
      </c>
    </row>
    <row r="850" spans="1:1">
      <c r="A850" s="5" t="s">
        <v>22</v>
      </c>
    </row>
    <row r="851" spans="1:1">
      <c r="A851" s="5" t="s">
        <v>23</v>
      </c>
    </row>
    <row r="852" spans="1:1">
      <c r="A852" s="5" t="s">
        <v>24</v>
      </c>
    </row>
    <row r="853" spans="1:1">
      <c r="A853" s="5" t="s">
        <v>25</v>
      </c>
    </row>
    <row r="854" spans="1:1">
      <c r="A854" s="5" t="s">
        <v>26</v>
      </c>
    </row>
    <row r="855" spans="1:1">
      <c r="A855" s="5" t="s">
        <v>27</v>
      </c>
    </row>
    <row r="856" spans="1:1">
      <c r="A856" s="5" t="s">
        <v>6</v>
      </c>
    </row>
    <row r="857" spans="1:1">
      <c r="A857" s="5" t="s">
        <v>28</v>
      </c>
    </row>
    <row r="858" spans="1:1">
      <c r="A858" s="5" t="s">
        <v>29</v>
      </c>
    </row>
    <row r="859" spans="1:1">
      <c r="A859" s="6"/>
    </row>
    <row r="860" spans="1:1">
      <c r="A860" s="6"/>
    </row>
    <row r="861" spans="1:1">
      <c r="A861" s="5" t="s">
        <v>6</v>
      </c>
    </row>
    <row r="862" spans="1:1">
      <c r="A862" s="5" t="s">
        <v>30</v>
      </c>
    </row>
    <row r="863" spans="1:1">
      <c r="A863" s="6"/>
    </row>
    <row r="864" spans="1:1">
      <c r="A864" s="5" t="s">
        <v>31</v>
      </c>
    </row>
    <row r="865" spans="1:1">
      <c r="A865" s="5" t="s">
        <v>32</v>
      </c>
    </row>
    <row r="866" spans="1:1">
      <c r="A866" s="5" t="s">
        <v>33</v>
      </c>
    </row>
    <row r="867" spans="1:1">
      <c r="A867" s="5" t="s">
        <v>34</v>
      </c>
    </row>
    <row r="868" spans="1:1">
      <c r="A868" s="5" t="s">
        <v>35</v>
      </c>
    </row>
    <row r="869" spans="1:1">
      <c r="A869" s="5" t="s">
        <v>36</v>
      </c>
    </row>
    <row r="870" spans="1:1">
      <c r="A870" s="5" t="s">
        <v>37</v>
      </c>
    </row>
    <row r="871" spans="1:1">
      <c r="A871" s="5" t="s">
        <v>38</v>
      </c>
    </row>
    <row r="872" spans="1:1">
      <c r="A872" s="5" t="s">
        <v>39</v>
      </c>
    </row>
    <row r="873" spans="1:1">
      <c r="A873" s="6"/>
    </row>
    <row r="874" spans="1:1">
      <c r="A874" s="5" t="s">
        <v>115</v>
      </c>
    </row>
    <row r="875" spans="1:1">
      <c r="A875" s="5" t="s">
        <v>116</v>
      </c>
    </row>
    <row r="876" spans="1:1">
      <c r="A876" s="6"/>
    </row>
    <row r="877" spans="1:1">
      <c r="A877" s="6"/>
    </row>
    <row r="878" spans="1:1">
      <c r="A878" s="6"/>
    </row>
    <row r="879" spans="1:1">
      <c r="A879" s="6"/>
    </row>
    <row r="880" spans="1:1">
      <c r="A880" s="5" t="s">
        <v>6</v>
      </c>
    </row>
    <row r="881" spans="1:1">
      <c r="A881" s="5" t="s">
        <v>40</v>
      </c>
    </row>
    <row r="882" spans="1:1">
      <c r="A882" s="6"/>
    </row>
    <row r="883" spans="1:1">
      <c r="A883" s="5" t="s">
        <v>41</v>
      </c>
    </row>
    <row r="884" spans="1:1">
      <c r="A884" s="6"/>
    </row>
    <row r="885" spans="1:1">
      <c r="A885" s="5" t="s">
        <v>42</v>
      </c>
    </row>
    <row r="886" spans="1:1">
      <c r="A886" s="6"/>
    </row>
    <row r="887" spans="1:1">
      <c r="A887" s="5" t="s">
        <v>43</v>
      </c>
    </row>
    <row r="888" spans="1:1">
      <c r="A888" s="5" t="s">
        <v>44</v>
      </c>
    </row>
    <row r="889" spans="1:1">
      <c r="A889" s="5" t="s">
        <v>45</v>
      </c>
    </row>
    <row r="890" spans="1:1">
      <c r="A890" s="5" t="s">
        <v>46</v>
      </c>
    </row>
    <row r="891" spans="1:1">
      <c r="A891" s="5" t="s">
        <v>47</v>
      </c>
    </row>
    <row r="892" spans="1:1">
      <c r="A892" s="5" t="s">
        <v>37</v>
      </c>
    </row>
    <row r="893" spans="1:1">
      <c r="A893" s="6"/>
    </row>
    <row r="894" spans="1:1">
      <c r="A894" s="5" t="s">
        <v>115</v>
      </c>
    </row>
    <row r="895" spans="1:1">
      <c r="A895" s="5" t="s">
        <v>116</v>
      </c>
    </row>
    <row r="896" spans="1:1">
      <c r="A896" s="6"/>
    </row>
    <row r="897" spans="1:1">
      <c r="A897" s="6"/>
    </row>
    <row r="898" spans="1:1">
      <c r="A898" s="5" t="s">
        <v>3</v>
      </c>
    </row>
    <row r="899" spans="1:1">
      <c r="A899" s="5" t="s">
        <v>4</v>
      </c>
    </row>
    <row r="900" spans="1:1">
      <c r="A900" s="5" t="s">
        <v>5</v>
      </c>
    </row>
    <row r="901" spans="1:1">
      <c r="A901" s="5" t="s">
        <v>6</v>
      </c>
    </row>
    <row r="902" spans="1:1">
      <c r="A902" s="5" t="s">
        <v>7</v>
      </c>
    </row>
    <row r="903" spans="1:1">
      <c r="A903" s="5" t="s">
        <v>6</v>
      </c>
    </row>
    <row r="904" spans="1:1">
      <c r="A904" s="5" t="s">
        <v>117</v>
      </c>
    </row>
    <row r="905" spans="1:1">
      <c r="A905" s="5" t="s">
        <v>118</v>
      </c>
    </row>
    <row r="906" spans="1:1">
      <c r="A906" s="6"/>
    </row>
    <row r="907" spans="1:1">
      <c r="A907" s="5" t="s">
        <v>87</v>
      </c>
    </row>
    <row r="908" spans="1:1">
      <c r="A908" s="5" t="s">
        <v>88</v>
      </c>
    </row>
    <row r="909" spans="1:1">
      <c r="A909" s="5" t="s">
        <v>89</v>
      </c>
    </row>
    <row r="910" spans="1:1">
      <c r="A910" s="5" t="s">
        <v>119</v>
      </c>
    </row>
    <row r="911" spans="1:1">
      <c r="A911" s="5" t="s">
        <v>6</v>
      </c>
    </row>
    <row r="912" spans="1:1">
      <c r="A912" s="5" t="s">
        <v>91</v>
      </c>
    </row>
    <row r="913" spans="1:1">
      <c r="A913" s="5" t="s">
        <v>120</v>
      </c>
    </row>
    <row r="914" spans="1:1">
      <c r="A914" s="5" t="s">
        <v>121</v>
      </c>
    </row>
    <row r="915" spans="1:1">
      <c r="A915" s="6"/>
    </row>
    <row r="916" spans="1:1">
      <c r="A916" s="5" t="s">
        <v>18</v>
      </c>
    </row>
    <row r="917" spans="1:1">
      <c r="A917" s="7">
        <v>45000</v>
      </c>
    </row>
    <row r="918" spans="1:1">
      <c r="A918" s="6"/>
    </row>
    <row r="919" spans="1:1">
      <c r="A919" s="5" t="s">
        <v>19</v>
      </c>
    </row>
    <row r="920" spans="1:1">
      <c r="A920" s="5" t="s">
        <v>20</v>
      </c>
    </row>
    <row r="921" spans="1:1">
      <c r="A921" s="5" t="s">
        <v>21</v>
      </c>
    </row>
    <row r="922" spans="1:1">
      <c r="A922" s="5" t="s">
        <v>22</v>
      </c>
    </row>
    <row r="923" spans="1:1">
      <c r="A923" s="5" t="s">
        <v>23</v>
      </c>
    </row>
    <row r="924" spans="1:1">
      <c r="A924" s="5" t="s">
        <v>24</v>
      </c>
    </row>
    <row r="925" spans="1:1">
      <c r="A925" s="5" t="s">
        <v>25</v>
      </c>
    </row>
    <row r="926" spans="1:1">
      <c r="A926" s="5" t="s">
        <v>26</v>
      </c>
    </row>
    <row r="927" spans="1:1">
      <c r="A927" s="5" t="s">
        <v>27</v>
      </c>
    </row>
    <row r="928" spans="1:1">
      <c r="A928" s="5" t="s">
        <v>6</v>
      </c>
    </row>
    <row r="929" spans="1:1">
      <c r="A929" s="5" t="s">
        <v>28</v>
      </c>
    </row>
    <row r="930" spans="1:1">
      <c r="A930" s="5" t="s">
        <v>29</v>
      </c>
    </row>
    <row r="931" spans="1:1">
      <c r="A931" s="6"/>
    </row>
    <row r="932" spans="1:1">
      <c r="A932" s="6"/>
    </row>
    <row r="933" spans="1:1">
      <c r="A933" s="5" t="s">
        <v>6</v>
      </c>
    </row>
    <row r="934" spans="1:1">
      <c r="A934" s="5" t="s">
        <v>30</v>
      </c>
    </row>
    <row r="935" spans="1:1">
      <c r="A935" s="6"/>
    </row>
    <row r="936" spans="1:1">
      <c r="A936" s="5" t="s">
        <v>31</v>
      </c>
    </row>
    <row r="937" spans="1:1">
      <c r="A937" s="5" t="s">
        <v>32</v>
      </c>
    </row>
    <row r="938" spans="1:1">
      <c r="A938" s="5" t="s">
        <v>33</v>
      </c>
    </row>
    <row r="939" spans="1:1">
      <c r="A939" s="5" t="s">
        <v>34</v>
      </c>
    </row>
    <row r="940" spans="1:1">
      <c r="A940" s="5" t="s">
        <v>35</v>
      </c>
    </row>
    <row r="941" spans="1:1">
      <c r="A941" s="5" t="s">
        <v>36</v>
      </c>
    </row>
    <row r="942" spans="1:1">
      <c r="A942" s="5" t="s">
        <v>37</v>
      </c>
    </row>
    <row r="943" spans="1:1">
      <c r="A943" s="5" t="s">
        <v>38</v>
      </c>
    </row>
    <row r="944" spans="1:1">
      <c r="A944" s="5" t="s">
        <v>39</v>
      </c>
    </row>
    <row r="945" spans="1:1">
      <c r="A945" s="6"/>
    </row>
    <row r="946" spans="1:1">
      <c r="A946" s="5" t="s">
        <v>117</v>
      </c>
    </row>
    <row r="947" spans="1:1">
      <c r="A947" s="5" t="s">
        <v>118</v>
      </c>
    </row>
    <row r="948" spans="1:1">
      <c r="A948" s="6"/>
    </row>
    <row r="949" spans="1:1">
      <c r="A949" s="6"/>
    </row>
    <row r="950" spans="1:1">
      <c r="A950" s="6"/>
    </row>
    <row r="951" spans="1:1">
      <c r="A951" s="6"/>
    </row>
    <row r="952" spans="1:1">
      <c r="A952" s="5" t="s">
        <v>6</v>
      </c>
    </row>
    <row r="953" spans="1:1">
      <c r="A953" s="5" t="s">
        <v>40</v>
      </c>
    </row>
    <row r="954" spans="1:1">
      <c r="A954" s="6"/>
    </row>
    <row r="955" spans="1:1">
      <c r="A955" s="5" t="s">
        <v>41</v>
      </c>
    </row>
    <row r="956" spans="1:1">
      <c r="A956" s="6"/>
    </row>
    <row r="957" spans="1:1">
      <c r="A957" s="5" t="s">
        <v>42</v>
      </c>
    </row>
    <row r="958" spans="1:1">
      <c r="A958" s="6"/>
    </row>
    <row r="959" spans="1:1">
      <c r="A959" s="5" t="s">
        <v>43</v>
      </c>
    </row>
    <row r="960" spans="1:1">
      <c r="A960" s="5" t="s">
        <v>44</v>
      </c>
    </row>
    <row r="961" spans="1:1">
      <c r="A961" s="5" t="s">
        <v>45</v>
      </c>
    </row>
    <row r="962" spans="1:1">
      <c r="A962" s="5" t="s">
        <v>46</v>
      </c>
    </row>
    <row r="963" spans="1:1">
      <c r="A963" s="5" t="s">
        <v>47</v>
      </c>
    </row>
    <row r="964" spans="1:1">
      <c r="A964" s="5" t="s">
        <v>37</v>
      </c>
    </row>
    <row r="965" spans="1:1">
      <c r="A965" s="6"/>
    </row>
    <row r="966" spans="1:1">
      <c r="A966" s="5" t="s">
        <v>117</v>
      </c>
    </row>
    <row r="967" spans="1:1">
      <c r="A967" s="5" t="s">
        <v>118</v>
      </c>
    </row>
    <row r="968" spans="1:1">
      <c r="A968" s="6"/>
    </row>
    <row r="969" spans="1:1">
      <c r="A969" s="6"/>
    </row>
    <row r="970" spans="1:1">
      <c r="A970" s="5" t="s">
        <v>3</v>
      </c>
    </row>
    <row r="971" spans="1:1">
      <c r="A971" s="5" t="s">
        <v>4</v>
      </c>
    </row>
    <row r="972" spans="1:1">
      <c r="A972" s="5" t="s">
        <v>5</v>
      </c>
    </row>
    <row r="973" spans="1:1">
      <c r="A973" s="5" t="s">
        <v>6</v>
      </c>
    </row>
    <row r="974" spans="1:1">
      <c r="A974" s="5" t="s">
        <v>7</v>
      </c>
    </row>
    <row r="975" spans="1:1">
      <c r="A975" s="5" t="s">
        <v>6</v>
      </c>
    </row>
    <row r="976" spans="1:1">
      <c r="A976" s="5" t="s">
        <v>122</v>
      </c>
    </row>
    <row r="977" spans="1:1">
      <c r="A977" s="5" t="s">
        <v>123</v>
      </c>
    </row>
    <row r="978" spans="1:1">
      <c r="A978" s="6"/>
    </row>
    <row r="979" spans="1:1">
      <c r="A979" s="5" t="s">
        <v>124</v>
      </c>
    </row>
    <row r="980" spans="1:1">
      <c r="A980" s="5" t="s">
        <v>125</v>
      </c>
    </row>
    <row r="981" spans="1:1">
      <c r="A981" s="5" t="s">
        <v>15</v>
      </c>
    </row>
    <row r="982" spans="1:1">
      <c r="A982" s="5" t="s">
        <v>6</v>
      </c>
    </row>
    <row r="983" spans="1:1">
      <c r="A983" s="5" t="s">
        <v>126</v>
      </c>
    </row>
    <row r="984" spans="1:1">
      <c r="A984" s="5" t="s">
        <v>52</v>
      </c>
    </row>
    <row r="985" spans="1:1">
      <c r="A985" s="5" t="s">
        <v>127</v>
      </c>
    </row>
    <row r="986" spans="1:1">
      <c r="A986" s="6"/>
    </row>
    <row r="987" spans="1:1">
      <c r="A987" s="5" t="s">
        <v>19</v>
      </c>
    </row>
    <row r="988" spans="1:1">
      <c r="A988" s="5" t="s">
        <v>20</v>
      </c>
    </row>
    <row r="989" spans="1:1">
      <c r="A989" s="5" t="s">
        <v>21</v>
      </c>
    </row>
    <row r="990" spans="1:1">
      <c r="A990" s="5" t="s">
        <v>22</v>
      </c>
    </row>
    <row r="991" spans="1:1">
      <c r="A991" s="5" t="s">
        <v>23</v>
      </c>
    </row>
    <row r="992" spans="1:1">
      <c r="A992" s="5" t="s">
        <v>24</v>
      </c>
    </row>
    <row r="993" spans="1:1">
      <c r="A993" s="5" t="s">
        <v>25</v>
      </c>
    </row>
    <row r="994" spans="1:1">
      <c r="A994" s="5" t="s">
        <v>26</v>
      </c>
    </row>
    <row r="995" spans="1:1">
      <c r="A995" s="5" t="s">
        <v>27</v>
      </c>
    </row>
    <row r="996" spans="1:1">
      <c r="A996" s="5" t="s">
        <v>6</v>
      </c>
    </row>
    <row r="997" spans="1:1">
      <c r="A997" s="5" t="s">
        <v>28</v>
      </c>
    </row>
    <row r="998" spans="1:1">
      <c r="A998" s="5" t="s">
        <v>29</v>
      </c>
    </row>
    <row r="999" spans="1:1">
      <c r="A999" s="6"/>
    </row>
    <row r="1000" spans="1:1">
      <c r="A1000" s="6"/>
    </row>
    <row r="1001" spans="1:1">
      <c r="A1001" s="5" t="s">
        <v>6</v>
      </c>
    </row>
    <row r="1002" spans="1:1">
      <c r="A1002" s="5" t="s">
        <v>30</v>
      </c>
    </row>
    <row r="1003" spans="1:1">
      <c r="A1003" s="6"/>
    </row>
    <row r="1004" spans="1:1">
      <c r="A1004" s="5" t="s">
        <v>31</v>
      </c>
    </row>
    <row r="1005" spans="1:1">
      <c r="A1005" s="5" t="s">
        <v>32</v>
      </c>
    </row>
    <row r="1006" spans="1:1">
      <c r="A1006" s="5" t="s">
        <v>33</v>
      </c>
    </row>
    <row r="1007" spans="1:1">
      <c r="A1007" s="5" t="s">
        <v>34</v>
      </c>
    </row>
    <row r="1008" spans="1:1">
      <c r="A1008" s="5" t="s">
        <v>35</v>
      </c>
    </row>
    <row r="1009" spans="1:1">
      <c r="A1009" s="5" t="s">
        <v>36</v>
      </c>
    </row>
    <row r="1010" spans="1:1">
      <c r="A1010" s="5" t="s">
        <v>37</v>
      </c>
    </row>
    <row r="1011" spans="1:1">
      <c r="A1011" s="5" t="s">
        <v>38</v>
      </c>
    </row>
    <row r="1012" spans="1:1">
      <c r="A1012" s="5" t="s">
        <v>39</v>
      </c>
    </row>
    <row r="1013" spans="1:1">
      <c r="A1013" s="6"/>
    </row>
    <row r="1014" spans="1:1">
      <c r="A1014" s="5" t="s">
        <v>122</v>
      </c>
    </row>
    <row r="1015" spans="1:1">
      <c r="A1015" s="5" t="s">
        <v>123</v>
      </c>
    </row>
    <row r="1016" spans="1:1">
      <c r="A1016" s="6"/>
    </row>
    <row r="1017" spans="1:1">
      <c r="A1017" s="6"/>
    </row>
    <row r="1018" spans="1:1">
      <c r="A1018" s="6"/>
    </row>
    <row r="1019" spans="1:1">
      <c r="A1019" s="6"/>
    </row>
    <row r="1020" spans="1:1">
      <c r="A1020" s="5" t="s">
        <v>6</v>
      </c>
    </row>
    <row r="1021" spans="1:1">
      <c r="A1021" s="5" t="s">
        <v>40</v>
      </c>
    </row>
    <row r="1022" spans="1:1">
      <c r="A1022" s="6"/>
    </row>
    <row r="1023" spans="1:1">
      <c r="A1023" s="5" t="s">
        <v>41</v>
      </c>
    </row>
    <row r="1024" spans="1:1">
      <c r="A1024" s="6"/>
    </row>
    <row r="1025" spans="1:1">
      <c r="A1025" s="5" t="s">
        <v>42</v>
      </c>
    </row>
    <row r="1026" spans="1:1">
      <c r="A1026" s="6"/>
    </row>
    <row r="1027" spans="1:1">
      <c r="A1027" s="5" t="s">
        <v>43</v>
      </c>
    </row>
    <row r="1028" spans="1:1">
      <c r="A1028" s="5" t="s">
        <v>44</v>
      </c>
    </row>
    <row r="1029" spans="1:1">
      <c r="A1029" s="5" t="s">
        <v>45</v>
      </c>
    </row>
    <row r="1030" spans="1:1">
      <c r="A1030" s="5" t="s">
        <v>46</v>
      </c>
    </row>
    <row r="1031" spans="1:1">
      <c r="A1031" s="5" t="s">
        <v>47</v>
      </c>
    </row>
    <row r="1032" spans="1:1">
      <c r="A1032" s="5" t="s">
        <v>37</v>
      </c>
    </row>
    <row r="1033" spans="1:1">
      <c r="A1033" s="6"/>
    </row>
    <row r="1034" spans="1:1">
      <c r="A1034" s="5" t="s">
        <v>122</v>
      </c>
    </row>
    <row r="1035" spans="1:1">
      <c r="A1035" s="5" t="s">
        <v>123</v>
      </c>
    </row>
    <row r="1036" spans="1:1">
      <c r="A1036" s="6"/>
    </row>
    <row r="1037" spans="1:1">
      <c r="A1037" s="6"/>
    </row>
    <row r="1038" spans="1:1">
      <c r="A1038" s="5" t="s">
        <v>3</v>
      </c>
    </row>
    <row r="1039" spans="1:1">
      <c r="A1039" s="5" t="s">
        <v>4</v>
      </c>
    </row>
    <row r="1040" spans="1:1">
      <c r="A1040" s="5" t="s">
        <v>5</v>
      </c>
    </row>
    <row r="1041" spans="1:1">
      <c r="A1041" s="5" t="s">
        <v>6</v>
      </c>
    </row>
    <row r="1042" spans="1:1">
      <c r="A1042" s="5" t="s">
        <v>7</v>
      </c>
    </row>
    <row r="1043" spans="1:1">
      <c r="A1043" s="5" t="s">
        <v>6</v>
      </c>
    </row>
    <row r="1044" spans="1:1">
      <c r="A1044" s="5" t="s">
        <v>128</v>
      </c>
    </row>
    <row r="1045" spans="1:1">
      <c r="A1045" s="5" t="s">
        <v>129</v>
      </c>
    </row>
    <row r="1046" spans="1:1">
      <c r="A1046" s="6"/>
    </row>
    <row r="1047" spans="1:1">
      <c r="A1047" s="5" t="s">
        <v>130</v>
      </c>
    </row>
    <row r="1048" spans="1:1">
      <c r="A1048" s="5" t="s">
        <v>13</v>
      </c>
    </row>
    <row r="1049" spans="1:1">
      <c r="A1049" s="5" t="s">
        <v>131</v>
      </c>
    </row>
    <row r="1050" spans="1:1">
      <c r="A1050" s="5" t="s">
        <v>15</v>
      </c>
    </row>
    <row r="1051" spans="1:1">
      <c r="A1051" s="5" t="s">
        <v>6</v>
      </c>
    </row>
    <row r="1052" spans="1:1">
      <c r="A1052" s="5" t="s">
        <v>16</v>
      </c>
    </row>
    <row r="1053" spans="1:1">
      <c r="A1053" s="5" t="s">
        <v>17</v>
      </c>
    </row>
    <row r="1054" spans="1:1">
      <c r="A1054" s="6"/>
    </row>
    <row r="1055" spans="1:1">
      <c r="A1055" s="5" t="s">
        <v>18</v>
      </c>
    </row>
    <row r="1056" spans="1:1">
      <c r="A1056" s="7">
        <v>100000</v>
      </c>
    </row>
    <row r="1057" spans="1:1">
      <c r="A1057" s="6"/>
    </row>
    <row r="1058" spans="1:1">
      <c r="A1058" s="5" t="s">
        <v>19</v>
      </c>
    </row>
    <row r="1059" spans="1:1">
      <c r="A1059" s="5" t="s">
        <v>20</v>
      </c>
    </row>
    <row r="1060" spans="1:1">
      <c r="A1060" s="5" t="s">
        <v>21</v>
      </c>
    </row>
    <row r="1061" spans="1:1">
      <c r="A1061" s="5" t="s">
        <v>22</v>
      </c>
    </row>
    <row r="1062" spans="1:1">
      <c r="A1062" s="5" t="s">
        <v>23</v>
      </c>
    </row>
    <row r="1063" spans="1:1">
      <c r="A1063" s="5" t="s">
        <v>24</v>
      </c>
    </row>
    <row r="1064" spans="1:1">
      <c r="A1064" s="5" t="s">
        <v>25</v>
      </c>
    </row>
    <row r="1065" spans="1:1">
      <c r="A1065" s="5" t="s">
        <v>26</v>
      </c>
    </row>
    <row r="1066" spans="1:1">
      <c r="A1066" s="5" t="s">
        <v>27</v>
      </c>
    </row>
    <row r="1067" spans="1:1">
      <c r="A1067" s="5" t="s">
        <v>6</v>
      </c>
    </row>
    <row r="1068" spans="1:1">
      <c r="A1068" s="5" t="s">
        <v>28</v>
      </c>
    </row>
    <row r="1069" spans="1:1">
      <c r="A1069" s="5" t="s">
        <v>29</v>
      </c>
    </row>
    <row r="1070" spans="1:1">
      <c r="A1070" s="6"/>
    </row>
    <row r="1071" spans="1:1">
      <c r="A1071" s="6"/>
    </row>
    <row r="1072" spans="1:1">
      <c r="A1072" s="5" t="s">
        <v>6</v>
      </c>
    </row>
    <row r="1073" spans="1:1">
      <c r="A1073" s="5" t="s">
        <v>30</v>
      </c>
    </row>
    <row r="1074" spans="1:1">
      <c r="A1074" s="6"/>
    </row>
    <row r="1075" spans="1:1">
      <c r="A1075" s="5" t="s">
        <v>31</v>
      </c>
    </row>
    <row r="1076" spans="1:1">
      <c r="A1076" s="5" t="s">
        <v>32</v>
      </c>
    </row>
    <row r="1077" spans="1:1">
      <c r="A1077" s="5" t="s">
        <v>33</v>
      </c>
    </row>
    <row r="1078" spans="1:1">
      <c r="A1078" s="5" t="s">
        <v>34</v>
      </c>
    </row>
    <row r="1079" spans="1:1">
      <c r="A1079" s="5" t="s">
        <v>35</v>
      </c>
    </row>
    <row r="1080" spans="1:1">
      <c r="A1080" s="5" t="s">
        <v>36</v>
      </c>
    </row>
    <row r="1081" spans="1:1">
      <c r="A1081" s="5" t="s">
        <v>37</v>
      </c>
    </row>
    <row r="1082" spans="1:1">
      <c r="A1082" s="5" t="s">
        <v>38</v>
      </c>
    </row>
    <row r="1083" spans="1:1">
      <c r="A1083" s="5" t="s">
        <v>39</v>
      </c>
    </row>
    <row r="1084" spans="1:1">
      <c r="A1084" s="6"/>
    </row>
    <row r="1085" spans="1:1">
      <c r="A1085" s="5" t="s">
        <v>128</v>
      </c>
    </row>
    <row r="1086" spans="1:1">
      <c r="A1086" s="5" t="s">
        <v>129</v>
      </c>
    </row>
    <row r="1087" spans="1:1">
      <c r="A1087" s="6"/>
    </row>
    <row r="1088" spans="1:1">
      <c r="A1088" s="6"/>
    </row>
    <row r="1089" spans="1:1">
      <c r="A1089" s="6"/>
    </row>
    <row r="1090" spans="1:1">
      <c r="A1090" s="6"/>
    </row>
    <row r="1091" spans="1:1">
      <c r="A1091" s="5" t="s">
        <v>6</v>
      </c>
    </row>
    <row r="1092" spans="1:1">
      <c r="A1092" s="5" t="s">
        <v>40</v>
      </c>
    </row>
    <row r="1093" spans="1:1">
      <c r="A1093" s="6"/>
    </row>
    <row r="1094" spans="1:1">
      <c r="A1094" s="5" t="s">
        <v>41</v>
      </c>
    </row>
    <row r="1095" spans="1:1">
      <c r="A1095" s="6"/>
    </row>
    <row r="1096" spans="1:1">
      <c r="A1096" s="5" t="s">
        <v>42</v>
      </c>
    </row>
    <row r="1097" spans="1:1">
      <c r="A1097" s="6"/>
    </row>
    <row r="1098" spans="1:1">
      <c r="A1098" s="5" t="s">
        <v>43</v>
      </c>
    </row>
    <row r="1099" spans="1:1">
      <c r="A1099" s="5" t="s">
        <v>44</v>
      </c>
    </row>
    <row r="1100" spans="1:1">
      <c r="A1100" s="5" t="s">
        <v>45</v>
      </c>
    </row>
    <row r="1101" spans="1:1">
      <c r="A1101" s="5" t="s">
        <v>46</v>
      </c>
    </row>
    <row r="1102" spans="1:1">
      <c r="A1102" s="5" t="s">
        <v>47</v>
      </c>
    </row>
    <row r="1103" spans="1:1">
      <c r="A1103" s="5" t="s">
        <v>37</v>
      </c>
    </row>
    <row r="1104" spans="1:1">
      <c r="A1104" s="6"/>
    </row>
    <row r="1105" spans="1:1">
      <c r="A1105" s="5" t="s">
        <v>128</v>
      </c>
    </row>
    <row r="1106" spans="1:1">
      <c r="A1106" s="5" t="s">
        <v>129</v>
      </c>
    </row>
    <row r="1107" spans="1:1">
      <c r="A1107" s="6"/>
    </row>
    <row r="1108" spans="1:1">
      <c r="A1108" s="6"/>
    </row>
    <row r="1109" spans="1:1">
      <c r="A1109" s="5" t="s">
        <v>3</v>
      </c>
    </row>
    <row r="1110" spans="1:1">
      <c r="A1110" s="5" t="s">
        <v>4</v>
      </c>
    </row>
    <row r="1111" spans="1:1">
      <c r="A1111" s="5" t="s">
        <v>5</v>
      </c>
    </row>
    <row r="1112" spans="1:1">
      <c r="A1112" s="5" t="s">
        <v>6</v>
      </c>
    </row>
    <row r="1113" spans="1:1">
      <c r="A1113" s="5" t="s">
        <v>7</v>
      </c>
    </row>
    <row r="1114" spans="1:1">
      <c r="A1114" s="5" t="s">
        <v>6</v>
      </c>
    </row>
    <row r="1115" spans="1:1">
      <c r="A1115" s="5" t="s">
        <v>132</v>
      </c>
    </row>
    <row r="1116" spans="1:1">
      <c r="A1116" s="5" t="s">
        <v>133</v>
      </c>
    </row>
    <row r="1117" spans="1:1">
      <c r="A1117" s="6"/>
    </row>
    <row r="1118" spans="1:1">
      <c r="A1118" s="5" t="s">
        <v>82</v>
      </c>
    </row>
    <row r="1119" spans="1:1">
      <c r="A1119" s="5" t="s">
        <v>15</v>
      </c>
    </row>
    <row r="1120" spans="1:1">
      <c r="A1120" s="5" t="s">
        <v>6</v>
      </c>
    </row>
    <row r="1121" spans="1:1">
      <c r="A1121" s="5" t="s">
        <v>83</v>
      </c>
    </row>
    <row r="1122" spans="1:1">
      <c r="A1122" s="5" t="s">
        <v>17</v>
      </c>
    </row>
    <row r="1123" spans="1:1">
      <c r="A1123" s="5" t="s">
        <v>84</v>
      </c>
    </row>
    <row r="1124" spans="1:1">
      <c r="A1124" s="6"/>
    </row>
    <row r="1125" spans="1:1">
      <c r="A1125" s="5" t="s">
        <v>19</v>
      </c>
    </row>
    <row r="1126" spans="1:1">
      <c r="A1126" s="5" t="s">
        <v>20</v>
      </c>
    </row>
    <row r="1127" spans="1:1">
      <c r="A1127" s="5" t="s">
        <v>21</v>
      </c>
    </row>
    <row r="1128" spans="1:1">
      <c r="A1128" s="5" t="s">
        <v>22</v>
      </c>
    </row>
    <row r="1129" spans="1:1">
      <c r="A1129" s="5" t="s">
        <v>23</v>
      </c>
    </row>
    <row r="1130" spans="1:1">
      <c r="A1130" s="5" t="s">
        <v>24</v>
      </c>
    </row>
    <row r="1131" spans="1:1">
      <c r="A1131" s="5" t="s">
        <v>25</v>
      </c>
    </row>
    <row r="1132" spans="1:1">
      <c r="A1132" s="5" t="s">
        <v>26</v>
      </c>
    </row>
    <row r="1133" spans="1:1">
      <c r="A1133" s="5" t="s">
        <v>27</v>
      </c>
    </row>
    <row r="1134" spans="1:1">
      <c r="A1134" s="5" t="s">
        <v>6</v>
      </c>
    </row>
    <row r="1135" spans="1:1">
      <c r="A1135" s="5" t="s">
        <v>28</v>
      </c>
    </row>
    <row r="1136" spans="1:1">
      <c r="A1136" s="5" t="s">
        <v>29</v>
      </c>
    </row>
    <row r="1137" spans="1:1">
      <c r="A1137" s="6"/>
    </row>
    <row r="1138" spans="1:1">
      <c r="A1138" s="6"/>
    </row>
    <row r="1139" spans="1:1">
      <c r="A1139" s="5" t="s">
        <v>6</v>
      </c>
    </row>
    <row r="1140" spans="1:1">
      <c r="A1140" s="5" t="s">
        <v>30</v>
      </c>
    </row>
    <row r="1141" spans="1:1">
      <c r="A1141" s="6"/>
    </row>
    <row r="1142" spans="1:1">
      <c r="A1142" s="5" t="s">
        <v>31</v>
      </c>
    </row>
    <row r="1143" spans="1:1">
      <c r="A1143" s="5" t="s">
        <v>32</v>
      </c>
    </row>
    <row r="1144" spans="1:1">
      <c r="A1144" s="5" t="s">
        <v>33</v>
      </c>
    </row>
    <row r="1145" spans="1:1">
      <c r="A1145" s="5" t="s">
        <v>34</v>
      </c>
    </row>
    <row r="1146" spans="1:1">
      <c r="A1146" s="5" t="s">
        <v>35</v>
      </c>
    </row>
    <row r="1147" spans="1:1">
      <c r="A1147" s="5" t="s">
        <v>36</v>
      </c>
    </row>
    <row r="1148" spans="1:1">
      <c r="A1148" s="5" t="s">
        <v>37</v>
      </c>
    </row>
    <row r="1149" spans="1:1">
      <c r="A1149" s="5" t="s">
        <v>38</v>
      </c>
    </row>
    <row r="1150" spans="1:1">
      <c r="A1150" s="5" t="s">
        <v>39</v>
      </c>
    </row>
    <row r="1151" spans="1:1">
      <c r="A1151" s="6"/>
    </row>
    <row r="1152" spans="1:1">
      <c r="A1152" s="5" t="s">
        <v>132</v>
      </c>
    </row>
    <row r="1153" spans="1:1">
      <c r="A1153" s="5" t="s">
        <v>133</v>
      </c>
    </row>
    <row r="1154" spans="1:1">
      <c r="A1154" s="6"/>
    </row>
    <row r="1155" spans="1:1">
      <c r="A1155" s="6"/>
    </row>
    <row r="1156" spans="1:1">
      <c r="A1156" s="5" t="s">
        <v>3</v>
      </c>
    </row>
    <row r="1157" spans="1:1">
      <c r="A1157" s="5" t="s">
        <v>4</v>
      </c>
    </row>
    <row r="1158" spans="1:1">
      <c r="A1158" s="5" t="s">
        <v>5</v>
      </c>
    </row>
    <row r="1159" spans="1:1">
      <c r="A1159" s="5" t="s">
        <v>6</v>
      </c>
    </row>
    <row r="1160" spans="1:1">
      <c r="A1160" s="5" t="s">
        <v>7</v>
      </c>
    </row>
    <row r="1161" spans="1:1">
      <c r="A1161" s="5" t="s">
        <v>6</v>
      </c>
    </row>
    <row r="1162" spans="1:1">
      <c r="A1162" s="5" t="s">
        <v>134</v>
      </c>
    </row>
    <row r="1163" spans="1:1">
      <c r="A1163" s="5" t="s">
        <v>135</v>
      </c>
    </row>
    <row r="1164" spans="1:1">
      <c r="A1164" s="6"/>
    </row>
    <row r="1165" spans="1:1">
      <c r="A1165" s="5" t="s">
        <v>12</v>
      </c>
    </row>
    <row r="1166" spans="1:1">
      <c r="A1166" s="5" t="s">
        <v>13</v>
      </c>
    </row>
    <row r="1167" spans="1:1">
      <c r="A1167" s="5" t="s">
        <v>131</v>
      </c>
    </row>
    <row r="1168" spans="1:1">
      <c r="A1168" s="5" t="s">
        <v>15</v>
      </c>
    </row>
    <row r="1169" spans="1:1">
      <c r="A1169" s="5" t="s">
        <v>6</v>
      </c>
    </row>
    <row r="1170" spans="1:1">
      <c r="A1170" s="5" t="s">
        <v>16</v>
      </c>
    </row>
    <row r="1171" spans="1:1">
      <c r="A1171" s="5" t="s">
        <v>17</v>
      </c>
    </row>
    <row r="1172" spans="1:1">
      <c r="A1172" s="6"/>
    </row>
    <row r="1173" spans="1:1">
      <c r="A1173" s="5" t="s">
        <v>18</v>
      </c>
    </row>
    <row r="1174" spans="1:1">
      <c r="A1174" s="7">
        <v>100000</v>
      </c>
    </row>
    <row r="1175" spans="1:1">
      <c r="A1175" s="6"/>
    </row>
    <row r="1176" spans="1:1">
      <c r="A1176" s="5" t="s">
        <v>19</v>
      </c>
    </row>
    <row r="1177" spans="1:1">
      <c r="A1177" s="5" t="s">
        <v>20</v>
      </c>
    </row>
    <row r="1178" spans="1:1">
      <c r="A1178" s="5" t="s">
        <v>21</v>
      </c>
    </row>
    <row r="1179" spans="1:1">
      <c r="A1179" s="5" t="s">
        <v>22</v>
      </c>
    </row>
    <row r="1180" spans="1:1">
      <c r="A1180" s="5" t="s">
        <v>23</v>
      </c>
    </row>
    <row r="1181" spans="1:1">
      <c r="A1181" s="5" t="s">
        <v>24</v>
      </c>
    </row>
    <row r="1182" spans="1:1">
      <c r="A1182" s="5" t="s">
        <v>25</v>
      </c>
    </row>
    <row r="1183" spans="1:1">
      <c r="A1183" s="5" t="s">
        <v>26</v>
      </c>
    </row>
    <row r="1184" spans="1:1">
      <c r="A1184" s="5" t="s">
        <v>27</v>
      </c>
    </row>
    <row r="1185" spans="1:1">
      <c r="A1185" s="5" t="s">
        <v>6</v>
      </c>
    </row>
    <row r="1186" spans="1:1">
      <c r="A1186" s="5" t="s">
        <v>28</v>
      </c>
    </row>
    <row r="1187" spans="1:1">
      <c r="A1187" s="5" t="s">
        <v>29</v>
      </c>
    </row>
    <row r="1188" spans="1:1">
      <c r="A1188" s="6"/>
    </row>
    <row r="1189" spans="1:1">
      <c r="A1189" s="6"/>
    </row>
    <row r="1190" spans="1:1">
      <c r="A1190" s="5" t="s">
        <v>6</v>
      </c>
    </row>
    <row r="1191" spans="1:1">
      <c r="A1191" s="5" t="s">
        <v>30</v>
      </c>
    </row>
    <row r="1192" spans="1:1">
      <c r="A1192" s="6"/>
    </row>
    <row r="1193" spans="1:1">
      <c r="A1193" s="5" t="s">
        <v>31</v>
      </c>
    </row>
    <row r="1194" spans="1:1">
      <c r="A1194" s="5" t="s">
        <v>32</v>
      </c>
    </row>
    <row r="1195" spans="1:1">
      <c r="A1195" s="5" t="s">
        <v>33</v>
      </c>
    </row>
    <row r="1196" spans="1:1">
      <c r="A1196" s="5" t="s">
        <v>34</v>
      </c>
    </row>
    <row r="1197" spans="1:1">
      <c r="A1197" s="5" t="s">
        <v>35</v>
      </c>
    </row>
    <row r="1198" spans="1:1">
      <c r="A1198" s="5" t="s">
        <v>36</v>
      </c>
    </row>
    <row r="1199" spans="1:1">
      <c r="A1199" s="5" t="s">
        <v>37</v>
      </c>
    </row>
    <row r="1200" spans="1:1">
      <c r="A1200" s="5" t="s">
        <v>38</v>
      </c>
    </row>
    <row r="1201" spans="1:1">
      <c r="A1201" s="5" t="s">
        <v>39</v>
      </c>
    </row>
    <row r="1202" spans="1:1">
      <c r="A1202" s="6"/>
    </row>
    <row r="1203" spans="1:1">
      <c r="A1203" s="5" t="s">
        <v>134</v>
      </c>
    </row>
    <row r="1204" spans="1:1">
      <c r="A1204" s="5" t="s">
        <v>135</v>
      </c>
    </row>
    <row r="1205" spans="1:1">
      <c r="A1205" s="6"/>
    </row>
    <row r="1206" spans="1:1">
      <c r="A1206" s="6"/>
    </row>
    <row r="1207" spans="1:1">
      <c r="A1207" s="6"/>
    </row>
    <row r="1208" spans="1:1">
      <c r="A1208" s="6"/>
    </row>
    <row r="1209" spans="1:1">
      <c r="A1209" s="5" t="s">
        <v>6</v>
      </c>
    </row>
    <row r="1210" spans="1:1">
      <c r="A1210" s="5" t="s">
        <v>40</v>
      </c>
    </row>
    <row r="1211" spans="1:1">
      <c r="A1211" s="6"/>
    </row>
    <row r="1212" spans="1:1">
      <c r="A1212" s="5" t="s">
        <v>41</v>
      </c>
    </row>
    <row r="1213" spans="1:1">
      <c r="A1213" s="6"/>
    </row>
    <row r="1214" spans="1:1">
      <c r="A1214" s="5" t="s">
        <v>42</v>
      </c>
    </row>
    <row r="1215" spans="1:1">
      <c r="A1215" s="6"/>
    </row>
    <row r="1216" spans="1:1">
      <c r="A1216" s="5" t="s">
        <v>43</v>
      </c>
    </row>
    <row r="1217" spans="1:1">
      <c r="A1217" s="5" t="s">
        <v>44</v>
      </c>
    </row>
    <row r="1218" spans="1:1">
      <c r="A1218" s="5" t="s">
        <v>45</v>
      </c>
    </row>
    <row r="1219" spans="1:1">
      <c r="A1219" s="5" t="s">
        <v>46</v>
      </c>
    </row>
    <row r="1220" spans="1:1">
      <c r="A1220" s="5" t="s">
        <v>47</v>
      </c>
    </row>
    <row r="1221" spans="1:1">
      <c r="A1221" s="5" t="s">
        <v>37</v>
      </c>
    </row>
    <row r="1222" spans="1:1">
      <c r="A1222" s="6"/>
    </row>
    <row r="1223" spans="1:1">
      <c r="A1223" s="5" t="s">
        <v>134</v>
      </c>
    </row>
    <row r="1224" spans="1:1">
      <c r="A1224" s="5" t="s">
        <v>135</v>
      </c>
    </row>
    <row r="1225" spans="1:1">
      <c r="A1225" s="6"/>
    </row>
    <row r="1226" spans="1:1">
      <c r="A1226" s="6"/>
    </row>
    <row r="1227" spans="1:1">
      <c r="A1227" s="5" t="s">
        <v>3</v>
      </c>
    </row>
    <row r="1228" spans="1:1">
      <c r="A1228" s="5" t="s">
        <v>4</v>
      </c>
    </row>
    <row r="1229" spans="1:1">
      <c r="A1229" s="5" t="s">
        <v>5</v>
      </c>
    </row>
    <row r="1230" spans="1:1">
      <c r="A1230" s="5" t="s">
        <v>6</v>
      </c>
    </row>
    <row r="1231" spans="1:1">
      <c r="A1231" s="5" t="s">
        <v>7</v>
      </c>
    </row>
    <row r="1232" spans="1:1">
      <c r="A1232" s="5" t="s">
        <v>6</v>
      </c>
    </row>
    <row r="1233" spans="1:1">
      <c r="A1233" s="5" t="s">
        <v>136</v>
      </c>
    </row>
    <row r="1234" spans="1:1">
      <c r="A1234" s="5" t="s">
        <v>137</v>
      </c>
    </row>
    <row r="1235" spans="1:1">
      <c r="A1235" s="6"/>
    </row>
    <row r="1236" spans="1:1">
      <c r="A1236" s="5" t="s">
        <v>138</v>
      </c>
    </row>
    <row r="1237" spans="1:1">
      <c r="A1237" s="5" t="s">
        <v>15</v>
      </c>
    </row>
    <row r="1238" spans="1:1">
      <c r="A1238" s="5" t="s">
        <v>6</v>
      </c>
    </row>
    <row r="1239" spans="1:1">
      <c r="A1239" s="5" t="s">
        <v>91</v>
      </c>
    </row>
    <row r="1240" spans="1:1">
      <c r="A1240" s="5" t="s">
        <v>63</v>
      </c>
    </row>
    <row r="1241" spans="1:1">
      <c r="A1241" s="5" t="s">
        <v>92</v>
      </c>
    </row>
    <row r="1242" spans="1:1">
      <c r="A1242" s="6"/>
    </row>
    <row r="1243" spans="1:1">
      <c r="A1243" s="5" t="s">
        <v>19</v>
      </c>
    </row>
    <row r="1244" spans="1:1">
      <c r="A1244" s="5" t="s">
        <v>20</v>
      </c>
    </row>
    <row r="1245" spans="1:1">
      <c r="A1245" s="5" t="s">
        <v>21</v>
      </c>
    </row>
    <row r="1246" spans="1:1">
      <c r="A1246" s="5" t="s">
        <v>22</v>
      </c>
    </row>
    <row r="1247" spans="1:1">
      <c r="A1247" s="5" t="s">
        <v>23</v>
      </c>
    </row>
    <row r="1248" spans="1:1">
      <c r="A1248" s="5" t="s">
        <v>24</v>
      </c>
    </row>
    <row r="1249" spans="1:1">
      <c r="A1249" s="5" t="s">
        <v>25</v>
      </c>
    </row>
    <row r="1250" spans="1:1">
      <c r="A1250" s="5" t="s">
        <v>26</v>
      </c>
    </row>
    <row r="1251" spans="1:1">
      <c r="A1251" s="5" t="s">
        <v>27</v>
      </c>
    </row>
    <row r="1252" spans="1:1">
      <c r="A1252" s="5" t="s">
        <v>6</v>
      </c>
    </row>
    <row r="1253" spans="1:1">
      <c r="A1253" s="5" t="s">
        <v>28</v>
      </c>
    </row>
    <row r="1254" spans="1:1">
      <c r="A1254" s="5" t="s">
        <v>29</v>
      </c>
    </row>
    <row r="1255" spans="1:1">
      <c r="A1255" s="6"/>
    </row>
    <row r="1256" spans="1:1">
      <c r="A1256" s="6"/>
    </row>
    <row r="1257" spans="1:1">
      <c r="A1257" s="5" t="s">
        <v>6</v>
      </c>
    </row>
    <row r="1258" spans="1:1">
      <c r="A1258" s="5" t="s">
        <v>30</v>
      </c>
    </row>
    <row r="1259" spans="1:1">
      <c r="A1259" s="6"/>
    </row>
    <row r="1260" spans="1:1">
      <c r="A1260" s="5" t="s">
        <v>31</v>
      </c>
    </row>
    <row r="1261" spans="1:1">
      <c r="A1261" s="5" t="s">
        <v>32</v>
      </c>
    </row>
    <row r="1262" spans="1:1">
      <c r="A1262" s="5" t="s">
        <v>33</v>
      </c>
    </row>
    <row r="1263" spans="1:1">
      <c r="A1263" s="5" t="s">
        <v>34</v>
      </c>
    </row>
    <row r="1264" spans="1:1">
      <c r="A1264" s="5" t="s">
        <v>35</v>
      </c>
    </row>
    <row r="1265" spans="1:1">
      <c r="A1265" s="5" t="s">
        <v>36</v>
      </c>
    </row>
    <row r="1266" spans="1:1">
      <c r="A1266" s="5" t="s">
        <v>37</v>
      </c>
    </row>
    <row r="1267" spans="1:1">
      <c r="A1267" s="5" t="s">
        <v>38</v>
      </c>
    </row>
    <row r="1268" spans="1:1">
      <c r="A1268" s="5" t="s">
        <v>39</v>
      </c>
    </row>
    <row r="1269" spans="1:1">
      <c r="A1269" s="6"/>
    </row>
    <row r="1270" spans="1:1">
      <c r="A1270" s="5" t="s">
        <v>136</v>
      </c>
    </row>
    <row r="1271" spans="1:1">
      <c r="A1271" s="5" t="s">
        <v>137</v>
      </c>
    </row>
    <row r="1272" spans="1:1">
      <c r="A1272" s="6"/>
    </row>
    <row r="1273" spans="1:1">
      <c r="A1273" s="6"/>
    </row>
    <row r="1274" spans="1:1">
      <c r="A1274" s="6"/>
    </row>
    <row r="1275" spans="1:1">
      <c r="A1275" s="6"/>
    </row>
    <row r="1276" spans="1:1">
      <c r="A1276" s="5" t="s">
        <v>6</v>
      </c>
    </row>
    <row r="1277" spans="1:1">
      <c r="A1277" s="5" t="s">
        <v>40</v>
      </c>
    </row>
    <row r="1278" spans="1:1">
      <c r="A1278" s="6"/>
    </row>
    <row r="1279" spans="1:1">
      <c r="A1279" s="5" t="s">
        <v>41</v>
      </c>
    </row>
    <row r="1280" spans="1:1">
      <c r="A1280" s="6"/>
    </row>
    <row r="1281" spans="1:1">
      <c r="A1281" s="5" t="s">
        <v>42</v>
      </c>
    </row>
    <row r="1282" spans="1:1">
      <c r="A1282" s="6"/>
    </row>
    <row r="1283" spans="1:1">
      <c r="A1283" s="5" t="s">
        <v>43</v>
      </c>
    </row>
    <row r="1284" spans="1:1">
      <c r="A1284" s="5" t="s">
        <v>44</v>
      </c>
    </row>
    <row r="1285" spans="1:1">
      <c r="A1285" s="5" t="s">
        <v>45</v>
      </c>
    </row>
    <row r="1286" spans="1:1">
      <c r="A1286" s="5" t="s">
        <v>46</v>
      </c>
    </row>
    <row r="1287" spans="1:1">
      <c r="A1287" s="5" t="s">
        <v>47</v>
      </c>
    </row>
    <row r="1288" spans="1:1">
      <c r="A1288" s="5" t="s">
        <v>37</v>
      </c>
    </row>
    <row r="1289" spans="1:1">
      <c r="A1289" s="6"/>
    </row>
    <row r="1290" spans="1:1">
      <c r="A1290" s="5" t="s">
        <v>136</v>
      </c>
    </row>
    <row r="1291" spans="1:1">
      <c r="A1291" s="5" t="s">
        <v>137</v>
      </c>
    </row>
    <row r="1292" spans="1:1">
      <c r="A1292" s="6"/>
    </row>
    <row r="1293" spans="1:1">
      <c r="A1293" s="6"/>
    </row>
    <row r="1294" spans="1:1">
      <c r="A1294" s="5" t="s">
        <v>3</v>
      </c>
    </row>
    <row r="1295" spans="1:1">
      <c r="A1295" s="5" t="s">
        <v>4</v>
      </c>
    </row>
    <row r="1296" spans="1:1">
      <c r="A1296" s="5" t="s">
        <v>5</v>
      </c>
    </row>
    <row r="1297" spans="1:1">
      <c r="A1297" s="5" t="s">
        <v>6</v>
      </c>
    </row>
    <row r="1298" spans="1:1">
      <c r="A1298" s="5" t="s">
        <v>7</v>
      </c>
    </row>
    <row r="1299" spans="1:1">
      <c r="A1299" s="5" t="s">
        <v>6</v>
      </c>
    </row>
    <row r="1300" spans="1:1">
      <c r="A1300" s="5" t="s">
        <v>139</v>
      </c>
    </row>
    <row r="1301" spans="1:1">
      <c r="A1301" s="5" t="s">
        <v>140</v>
      </c>
    </row>
    <row r="1302" spans="1:1">
      <c r="A1302" s="6"/>
    </row>
    <row r="1303" spans="1:1">
      <c r="A1303" s="5" t="s">
        <v>141</v>
      </c>
    </row>
    <row r="1304" spans="1:1">
      <c r="A1304" s="5" t="s">
        <v>70</v>
      </c>
    </row>
    <row r="1305" spans="1:1">
      <c r="A1305" s="5" t="s">
        <v>142</v>
      </c>
    </row>
    <row r="1306" spans="1:1">
      <c r="A1306" s="5" t="s">
        <v>143</v>
      </c>
    </row>
    <row r="1307" spans="1:1">
      <c r="A1307" s="5" t="s">
        <v>70</v>
      </c>
    </row>
    <row r="1308" spans="1:1">
      <c r="A1308" s="5" t="s">
        <v>142</v>
      </c>
    </row>
    <row r="1309" spans="1:1">
      <c r="A1309" s="5" t="s">
        <v>144</v>
      </c>
    </row>
    <row r="1310" spans="1:1">
      <c r="A1310" s="5" t="s">
        <v>70</v>
      </c>
    </row>
    <row r="1311" spans="1:1">
      <c r="A1311" s="5" t="s">
        <v>142</v>
      </c>
    </row>
    <row r="1312" spans="1:1">
      <c r="A1312" s="5" t="s">
        <v>145</v>
      </c>
    </row>
    <row r="1313" spans="1:1">
      <c r="A1313" s="5" t="s">
        <v>103</v>
      </c>
    </row>
    <row r="1314" spans="1:1">
      <c r="A1314" s="5" t="s">
        <v>6</v>
      </c>
    </row>
    <row r="1315" spans="1:1">
      <c r="A1315" s="5" t="s">
        <v>146</v>
      </c>
    </row>
    <row r="1316" spans="1:1">
      <c r="A1316" s="5" t="s">
        <v>147</v>
      </c>
    </row>
    <row r="1317" spans="1:1">
      <c r="A1317" s="5" t="s">
        <v>148</v>
      </c>
    </row>
    <row r="1318" spans="1:1">
      <c r="A1318" s="6"/>
    </row>
    <row r="1319" spans="1:1">
      <c r="A1319" s="5" t="s">
        <v>18</v>
      </c>
    </row>
    <row r="1320" spans="1:1">
      <c r="A1320" s="7">
        <v>79899</v>
      </c>
    </row>
    <row r="1321" spans="1:1">
      <c r="A1321" s="6"/>
    </row>
    <row r="1322" spans="1:1">
      <c r="A1322" s="5" t="s">
        <v>19</v>
      </c>
    </row>
    <row r="1323" spans="1:1">
      <c r="A1323" s="5" t="s">
        <v>20</v>
      </c>
    </row>
    <row r="1324" spans="1:1">
      <c r="A1324" s="5" t="s">
        <v>21</v>
      </c>
    </row>
    <row r="1325" spans="1:1">
      <c r="A1325" s="5" t="s">
        <v>22</v>
      </c>
    </row>
    <row r="1326" spans="1:1">
      <c r="A1326" s="5" t="s">
        <v>23</v>
      </c>
    </row>
    <row r="1327" spans="1:1">
      <c r="A1327" s="5" t="s">
        <v>24</v>
      </c>
    </row>
    <row r="1328" spans="1:1">
      <c r="A1328" s="5" t="s">
        <v>25</v>
      </c>
    </row>
    <row r="1329" spans="1:1">
      <c r="A1329" s="5" t="s">
        <v>26</v>
      </c>
    </row>
    <row r="1330" spans="1:1">
      <c r="A1330" s="5" t="s">
        <v>27</v>
      </c>
    </row>
    <row r="1331" spans="1:1">
      <c r="A1331" s="5" t="s">
        <v>6</v>
      </c>
    </row>
    <row r="1332" spans="1:1">
      <c r="A1332" s="5" t="s">
        <v>28</v>
      </c>
    </row>
    <row r="1333" spans="1:1">
      <c r="A1333" s="5" t="s">
        <v>29</v>
      </c>
    </row>
    <row r="1334" spans="1:1">
      <c r="A1334" s="6"/>
    </row>
    <row r="1335" spans="1:1">
      <c r="A1335" s="6"/>
    </row>
    <row r="1336" spans="1:1">
      <c r="A1336" s="5" t="s">
        <v>6</v>
      </c>
    </row>
    <row r="1337" spans="1:1">
      <c r="A1337" s="5" t="s">
        <v>30</v>
      </c>
    </row>
    <row r="1338" spans="1:1">
      <c r="A1338" s="6"/>
    </row>
    <row r="1339" spans="1:1">
      <c r="A1339" s="5" t="s">
        <v>31</v>
      </c>
    </row>
    <row r="1340" spans="1:1">
      <c r="A1340" s="5" t="s">
        <v>32</v>
      </c>
    </row>
    <row r="1341" spans="1:1">
      <c r="A1341" s="5" t="s">
        <v>33</v>
      </c>
    </row>
    <row r="1342" spans="1:1">
      <c r="A1342" s="5" t="s">
        <v>34</v>
      </c>
    </row>
    <row r="1343" spans="1:1">
      <c r="A1343" s="5" t="s">
        <v>35</v>
      </c>
    </row>
    <row r="1344" spans="1:1">
      <c r="A1344" s="5" t="s">
        <v>36</v>
      </c>
    </row>
    <row r="1345" spans="1:1">
      <c r="A1345" s="5" t="s">
        <v>37</v>
      </c>
    </row>
    <row r="1346" spans="1:1">
      <c r="A1346" s="5" t="s">
        <v>38</v>
      </c>
    </row>
    <row r="1347" spans="1:1">
      <c r="A1347" s="5" t="s">
        <v>39</v>
      </c>
    </row>
    <row r="1348" spans="1:1">
      <c r="A1348" s="6"/>
    </row>
    <row r="1349" spans="1:1">
      <c r="A1349" s="5" t="s">
        <v>139</v>
      </c>
    </row>
    <row r="1350" spans="1:1">
      <c r="A1350" s="5" t="s">
        <v>140</v>
      </c>
    </row>
    <row r="1351" spans="1:1">
      <c r="A1351" s="6"/>
    </row>
    <row r="1352" spans="1:1">
      <c r="A1352" s="6"/>
    </row>
    <row r="1353" spans="1:1">
      <c r="A1353" s="6"/>
    </row>
    <row r="1354" spans="1:1">
      <c r="A1354" s="6"/>
    </row>
    <row r="1355" spans="1:1">
      <c r="A1355" s="5" t="s">
        <v>6</v>
      </c>
    </row>
    <row r="1356" spans="1:1">
      <c r="A1356" s="5" t="s">
        <v>40</v>
      </c>
    </row>
    <row r="1357" spans="1:1">
      <c r="A1357" s="6"/>
    </row>
    <row r="1358" spans="1:1">
      <c r="A1358" s="5" t="s">
        <v>41</v>
      </c>
    </row>
    <row r="1359" spans="1:1">
      <c r="A1359" s="6"/>
    </row>
    <row r="1360" spans="1:1">
      <c r="A1360" s="5" t="s">
        <v>42</v>
      </c>
    </row>
    <row r="1361" spans="1:1">
      <c r="A1361" s="6"/>
    </row>
    <row r="1362" spans="1:1">
      <c r="A1362" s="5" t="s">
        <v>43</v>
      </c>
    </row>
    <row r="1363" spans="1:1">
      <c r="A1363" s="5" t="s">
        <v>44</v>
      </c>
    </row>
    <row r="1364" spans="1:1">
      <c r="A1364" s="5" t="s">
        <v>45</v>
      </c>
    </row>
    <row r="1365" spans="1:1">
      <c r="A1365" s="5" t="s">
        <v>46</v>
      </c>
    </row>
    <row r="1366" spans="1:1">
      <c r="A1366" s="5" t="s">
        <v>47</v>
      </c>
    </row>
    <row r="1367" spans="1:1">
      <c r="A1367" s="5" t="s">
        <v>37</v>
      </c>
    </row>
    <row r="1368" spans="1:1">
      <c r="A1368" s="6"/>
    </row>
    <row r="1369" spans="1:1">
      <c r="A1369" s="5" t="s">
        <v>139</v>
      </c>
    </row>
    <row r="1370" spans="1:1">
      <c r="A1370" s="5" t="s">
        <v>140</v>
      </c>
    </row>
    <row r="1371" spans="1:1">
      <c r="A1371" s="6"/>
    </row>
    <row r="1372" spans="1:1">
      <c r="A1372" s="6"/>
    </row>
    <row r="1373" spans="1:1">
      <c r="A1373" s="5" t="s">
        <v>3</v>
      </c>
    </row>
    <row r="1374" spans="1:1">
      <c r="A1374" s="5" t="s">
        <v>4</v>
      </c>
    </row>
    <row r="1375" spans="1:1">
      <c r="A1375" s="5" t="s">
        <v>5</v>
      </c>
    </row>
    <row r="1376" spans="1:1">
      <c r="A1376" s="5" t="s">
        <v>6</v>
      </c>
    </row>
    <row r="1377" spans="1:1">
      <c r="A1377" s="5" t="s">
        <v>7</v>
      </c>
    </row>
    <row r="1378" spans="1:1">
      <c r="A1378" s="5" t="s">
        <v>6</v>
      </c>
    </row>
    <row r="1379" spans="1:1">
      <c r="A1379" s="5" t="s">
        <v>149</v>
      </c>
    </row>
    <row r="1380" spans="1:1">
      <c r="A1380" s="5" t="s">
        <v>150</v>
      </c>
    </row>
    <row r="1381" spans="1:1">
      <c r="A1381" s="6"/>
    </row>
    <row r="1382" spans="1:1">
      <c r="A1382" s="5" t="s">
        <v>151</v>
      </c>
    </row>
    <row r="1383" spans="1:1">
      <c r="A1383" s="5" t="s">
        <v>152</v>
      </c>
    </row>
    <row r="1384" spans="1:1">
      <c r="A1384" s="5" t="s">
        <v>103</v>
      </c>
    </row>
    <row r="1385" spans="1:1">
      <c r="A1385" s="5" t="s">
        <v>6</v>
      </c>
    </row>
    <row r="1386" spans="1:1">
      <c r="A1386" s="5" t="s">
        <v>153</v>
      </c>
    </row>
    <row r="1387" spans="1:1">
      <c r="A1387" s="5" t="s">
        <v>154</v>
      </c>
    </row>
    <row r="1388" spans="1:1">
      <c r="A1388" s="6"/>
    </row>
    <row r="1389" spans="1:1">
      <c r="A1389" s="5" t="s">
        <v>19</v>
      </c>
    </row>
    <row r="1390" spans="1:1">
      <c r="A1390" s="5" t="s">
        <v>20</v>
      </c>
    </row>
    <row r="1391" spans="1:1">
      <c r="A1391" s="5" t="s">
        <v>21</v>
      </c>
    </row>
    <row r="1392" spans="1:1">
      <c r="A1392" s="5" t="s">
        <v>22</v>
      </c>
    </row>
    <row r="1393" spans="1:1">
      <c r="A1393" s="5" t="s">
        <v>23</v>
      </c>
    </row>
    <row r="1394" spans="1:1">
      <c r="A1394" s="5" t="s">
        <v>24</v>
      </c>
    </row>
    <row r="1395" spans="1:1">
      <c r="A1395" s="5" t="s">
        <v>25</v>
      </c>
    </row>
    <row r="1396" spans="1:1">
      <c r="A1396" s="5" t="s">
        <v>26</v>
      </c>
    </row>
    <row r="1397" spans="1:1">
      <c r="A1397" s="5" t="s">
        <v>27</v>
      </c>
    </row>
    <row r="1398" spans="1:1">
      <c r="A1398" s="5" t="s">
        <v>6</v>
      </c>
    </row>
    <row r="1399" spans="1:1">
      <c r="A1399" s="5" t="s">
        <v>28</v>
      </c>
    </row>
    <row r="1400" spans="1:1">
      <c r="A1400" s="5" t="s">
        <v>29</v>
      </c>
    </row>
    <row r="1401" spans="1:1">
      <c r="A1401" s="6"/>
    </row>
    <row r="1402" spans="1:1">
      <c r="A1402" s="6"/>
    </row>
    <row r="1403" spans="1:1">
      <c r="A1403" s="5" t="s">
        <v>6</v>
      </c>
    </row>
    <row r="1404" spans="1:1">
      <c r="A1404" s="5" t="s">
        <v>30</v>
      </c>
    </row>
    <row r="1405" spans="1:1">
      <c r="A1405" s="6"/>
    </row>
    <row r="1406" spans="1:1">
      <c r="A1406" s="5" t="s">
        <v>31</v>
      </c>
    </row>
    <row r="1407" spans="1:1">
      <c r="A1407" s="5" t="s">
        <v>32</v>
      </c>
    </row>
    <row r="1408" spans="1:1">
      <c r="A1408" s="5" t="s">
        <v>33</v>
      </c>
    </row>
    <row r="1409" spans="1:1">
      <c r="A1409" s="5" t="s">
        <v>34</v>
      </c>
    </row>
    <row r="1410" spans="1:1">
      <c r="A1410" s="5" t="s">
        <v>35</v>
      </c>
    </row>
    <row r="1411" spans="1:1">
      <c r="A1411" s="5" t="s">
        <v>36</v>
      </c>
    </row>
    <row r="1412" spans="1:1">
      <c r="A1412" s="5" t="s">
        <v>37</v>
      </c>
    </row>
    <row r="1413" spans="1:1">
      <c r="A1413" s="5" t="s">
        <v>38</v>
      </c>
    </row>
    <row r="1414" spans="1:1">
      <c r="A1414" s="5" t="s">
        <v>39</v>
      </c>
    </row>
    <row r="1415" spans="1:1">
      <c r="A1415" s="6"/>
    </row>
    <row r="1416" spans="1:1">
      <c r="A1416" s="5" t="s">
        <v>149</v>
      </c>
    </row>
    <row r="1417" spans="1:1">
      <c r="A1417" s="5" t="s">
        <v>150</v>
      </c>
    </row>
    <row r="1418" spans="1:1">
      <c r="A1418" s="6"/>
    </row>
    <row r="1419" spans="1:1">
      <c r="A1419" s="6"/>
    </row>
    <row r="1420" spans="1:1">
      <c r="A1420" s="6"/>
    </row>
    <row r="1421" spans="1:1">
      <c r="A1421" s="6"/>
    </row>
    <row r="1422" spans="1:1">
      <c r="A1422" s="5" t="s">
        <v>6</v>
      </c>
    </row>
    <row r="1423" spans="1:1">
      <c r="A1423" s="5" t="s">
        <v>40</v>
      </c>
    </row>
    <row r="1424" spans="1:1">
      <c r="A1424" s="6"/>
    </row>
    <row r="1425" spans="1:1">
      <c r="A1425" s="5" t="s">
        <v>41</v>
      </c>
    </row>
    <row r="1426" spans="1:1">
      <c r="A1426" s="6"/>
    </row>
    <row r="1427" spans="1:1">
      <c r="A1427" s="5" t="s">
        <v>42</v>
      </c>
    </row>
    <row r="1428" spans="1:1">
      <c r="A1428" s="6"/>
    </row>
    <row r="1429" spans="1:1">
      <c r="A1429" s="5" t="s">
        <v>43</v>
      </c>
    </row>
    <row r="1430" spans="1:1">
      <c r="A1430" s="5" t="s">
        <v>44</v>
      </c>
    </row>
    <row r="1431" spans="1:1">
      <c r="A1431" s="5" t="s">
        <v>45</v>
      </c>
    </row>
    <row r="1432" spans="1:1">
      <c r="A1432" s="5" t="s">
        <v>46</v>
      </c>
    </row>
    <row r="1433" spans="1:1">
      <c r="A1433" s="5" t="s">
        <v>47</v>
      </c>
    </row>
    <row r="1434" spans="1:1">
      <c r="A1434" s="5" t="s">
        <v>37</v>
      </c>
    </row>
    <row r="1435" spans="1:1">
      <c r="A1435" s="6"/>
    </row>
    <row r="1436" spans="1:1">
      <c r="A1436" s="5" t="s">
        <v>149</v>
      </c>
    </row>
    <row r="1437" spans="1:1">
      <c r="A1437" s="5" t="s">
        <v>150</v>
      </c>
    </row>
    <row r="1438" spans="1:1">
      <c r="A1438" s="6"/>
    </row>
    <row r="1439" spans="1:1">
      <c r="A1439" s="6"/>
    </row>
    <row r="1440" spans="1:1">
      <c r="A1440" s="5" t="s">
        <v>3</v>
      </c>
    </row>
    <row r="1441" spans="1:1">
      <c r="A1441" s="5" t="s">
        <v>4</v>
      </c>
    </row>
    <row r="1442" spans="1:1">
      <c r="A1442" s="5" t="s">
        <v>5</v>
      </c>
    </row>
    <row r="1443" spans="1:1">
      <c r="A1443" s="5" t="s">
        <v>6</v>
      </c>
    </row>
    <row r="1444" spans="1:1">
      <c r="A1444" s="5" t="s">
        <v>7</v>
      </c>
    </row>
    <row r="1445" spans="1:1">
      <c r="A1445" s="5" t="s">
        <v>6</v>
      </c>
    </row>
    <row r="1446" spans="1:1">
      <c r="A1446" s="5" t="s">
        <v>155</v>
      </c>
    </row>
    <row r="1447" spans="1:1">
      <c r="A1447" s="5" t="s">
        <v>156</v>
      </c>
    </row>
    <row r="1448" spans="1:1">
      <c r="A1448" s="6"/>
    </row>
    <row r="1449" spans="1:1">
      <c r="A1449" s="5" t="s">
        <v>157</v>
      </c>
    </row>
    <row r="1450" spans="1:1">
      <c r="A1450" s="5" t="s">
        <v>158</v>
      </c>
    </row>
    <row r="1451" spans="1:1">
      <c r="A1451" s="5" t="s">
        <v>159</v>
      </c>
    </row>
    <row r="1452" spans="1:1">
      <c r="A1452" s="5" t="s">
        <v>160</v>
      </c>
    </row>
    <row r="1453" spans="1:1">
      <c r="A1453" s="5" t="s">
        <v>161</v>
      </c>
    </row>
    <row r="1454" spans="1:1">
      <c r="A1454" s="5" t="s">
        <v>162</v>
      </c>
    </row>
    <row r="1455" spans="1:1">
      <c r="A1455" s="5" t="s">
        <v>163</v>
      </c>
    </row>
    <row r="1456" spans="1:1">
      <c r="A1456" s="5" t="s">
        <v>164</v>
      </c>
    </row>
    <row r="1457" spans="1:1">
      <c r="A1457" s="5" t="s">
        <v>165</v>
      </c>
    </row>
    <row r="1458" spans="1:1">
      <c r="A1458" s="5" t="s">
        <v>15</v>
      </c>
    </row>
    <row r="1459" spans="1:1">
      <c r="A1459" s="5" t="s">
        <v>6</v>
      </c>
    </row>
    <row r="1460" spans="1:1">
      <c r="A1460" s="5" t="s">
        <v>166</v>
      </c>
    </row>
    <row r="1461" spans="1:1">
      <c r="A1461" s="5" t="s">
        <v>167</v>
      </c>
    </row>
    <row r="1462" spans="1:1">
      <c r="A1462" s="5" t="s">
        <v>168</v>
      </c>
    </row>
    <row r="1463" spans="1:1">
      <c r="A1463" s="6"/>
    </row>
    <row r="1464" spans="1:1">
      <c r="A1464" s="5" t="s">
        <v>18</v>
      </c>
    </row>
    <row r="1465" spans="1:1">
      <c r="A1465" s="7">
        <v>526240</v>
      </c>
    </row>
    <row r="1466" spans="1:1">
      <c r="A1466" s="6"/>
    </row>
    <row r="1467" spans="1:1">
      <c r="A1467" s="5" t="s">
        <v>19</v>
      </c>
    </row>
    <row r="1468" spans="1:1">
      <c r="A1468" s="5" t="s">
        <v>20</v>
      </c>
    </row>
    <row r="1469" spans="1:1">
      <c r="A1469" s="5" t="s">
        <v>21</v>
      </c>
    </row>
    <row r="1470" spans="1:1">
      <c r="A1470" s="5" t="s">
        <v>22</v>
      </c>
    </row>
    <row r="1471" spans="1:1">
      <c r="A1471" s="5" t="s">
        <v>23</v>
      </c>
    </row>
    <row r="1472" spans="1:1">
      <c r="A1472" s="5" t="s">
        <v>24</v>
      </c>
    </row>
    <row r="1473" spans="1:1">
      <c r="A1473" s="5" t="s">
        <v>25</v>
      </c>
    </row>
    <row r="1474" spans="1:1">
      <c r="A1474" s="5" t="s">
        <v>26</v>
      </c>
    </row>
    <row r="1475" spans="1:1">
      <c r="A1475" s="5" t="s">
        <v>27</v>
      </c>
    </row>
    <row r="1476" spans="1:1">
      <c r="A1476" s="5" t="s">
        <v>6</v>
      </c>
    </row>
    <row r="1477" spans="1:1">
      <c r="A1477" s="5" t="s">
        <v>28</v>
      </c>
    </row>
    <row r="1478" spans="1:1">
      <c r="A1478" s="5" t="s">
        <v>29</v>
      </c>
    </row>
    <row r="1479" spans="1:1">
      <c r="A1479" s="6"/>
    </row>
    <row r="1480" spans="1:1">
      <c r="A1480" s="6"/>
    </row>
    <row r="1481" spans="1:1">
      <c r="A1481" s="5" t="s">
        <v>6</v>
      </c>
    </row>
    <row r="1482" spans="1:1">
      <c r="A1482" s="5" t="s">
        <v>30</v>
      </c>
    </row>
    <row r="1483" spans="1:1">
      <c r="A1483" s="6"/>
    </row>
    <row r="1484" spans="1:1">
      <c r="A1484" s="5" t="s">
        <v>31</v>
      </c>
    </row>
    <row r="1485" spans="1:1">
      <c r="A1485" s="5" t="s">
        <v>32</v>
      </c>
    </row>
    <row r="1486" spans="1:1">
      <c r="A1486" s="5" t="s">
        <v>33</v>
      </c>
    </row>
    <row r="1487" spans="1:1">
      <c r="A1487" s="5" t="s">
        <v>34</v>
      </c>
    </row>
    <row r="1488" spans="1:1">
      <c r="A1488" s="5" t="s">
        <v>35</v>
      </c>
    </row>
    <row r="1489" spans="1:1">
      <c r="A1489" s="5" t="s">
        <v>36</v>
      </c>
    </row>
    <row r="1490" spans="1:1">
      <c r="A1490" s="5" t="s">
        <v>37</v>
      </c>
    </row>
    <row r="1491" spans="1:1">
      <c r="A1491" s="5" t="s">
        <v>38</v>
      </c>
    </row>
    <row r="1492" spans="1:1">
      <c r="A1492" s="5" t="s">
        <v>39</v>
      </c>
    </row>
    <row r="1493" spans="1:1">
      <c r="A1493" s="6"/>
    </row>
    <row r="1494" spans="1:1">
      <c r="A1494" s="5" t="s">
        <v>155</v>
      </c>
    </row>
    <row r="1495" spans="1:1">
      <c r="A1495" s="5" t="s">
        <v>156</v>
      </c>
    </row>
    <row r="1496" spans="1:1">
      <c r="A1496" s="6"/>
    </row>
    <row r="1497" spans="1:1">
      <c r="A1497" s="6"/>
    </row>
    <row r="1498" spans="1:1">
      <c r="A1498" s="6"/>
    </row>
    <row r="1499" spans="1:1">
      <c r="A1499" s="6"/>
    </row>
    <row r="1500" spans="1:1">
      <c r="A1500" s="5" t="s">
        <v>6</v>
      </c>
    </row>
    <row r="1501" spans="1:1">
      <c r="A1501" s="5" t="s">
        <v>40</v>
      </c>
    </row>
    <row r="1502" spans="1:1">
      <c r="A1502" s="6"/>
    </row>
    <row r="1503" spans="1:1">
      <c r="A1503" s="5" t="s">
        <v>41</v>
      </c>
    </row>
    <row r="1504" spans="1:1">
      <c r="A1504" s="6"/>
    </row>
    <row r="1505" spans="1:1">
      <c r="A1505" s="5" t="s">
        <v>42</v>
      </c>
    </row>
    <row r="1506" spans="1:1">
      <c r="A1506" s="6"/>
    </row>
    <row r="1507" spans="1:1">
      <c r="A1507" s="5" t="s">
        <v>43</v>
      </c>
    </row>
    <row r="1508" spans="1:1">
      <c r="A1508" s="5" t="s">
        <v>44</v>
      </c>
    </row>
    <row r="1509" spans="1:1">
      <c r="A1509" s="5" t="s">
        <v>45</v>
      </c>
    </row>
    <row r="1510" spans="1:1">
      <c r="A1510" s="5" t="s">
        <v>46</v>
      </c>
    </row>
    <row r="1511" spans="1:1">
      <c r="A1511" s="5" t="s">
        <v>47</v>
      </c>
    </row>
    <row r="1512" spans="1:1">
      <c r="A1512" s="5" t="s">
        <v>37</v>
      </c>
    </row>
    <row r="1513" spans="1:1">
      <c r="A1513" s="6"/>
    </row>
    <row r="1514" spans="1:1">
      <c r="A1514" s="5" t="s">
        <v>155</v>
      </c>
    </row>
    <row r="1515" spans="1:1">
      <c r="A1515" s="5" t="s">
        <v>156</v>
      </c>
    </row>
    <row r="1516" spans="1:1">
      <c r="A1516" s="6"/>
    </row>
    <row r="1517" spans="1:1">
      <c r="A1517" s="6"/>
    </row>
    <row r="1518" spans="1:1">
      <c r="A1518" s="5" t="s">
        <v>3</v>
      </c>
    </row>
    <row r="1519" spans="1:1">
      <c r="A1519" s="5" t="s">
        <v>4</v>
      </c>
    </row>
    <row r="1520" spans="1:1">
      <c r="A1520" s="5" t="s">
        <v>5</v>
      </c>
    </row>
    <row r="1521" spans="1:1">
      <c r="A1521" s="5" t="s">
        <v>6</v>
      </c>
    </row>
    <row r="1522" spans="1:1">
      <c r="A1522" s="5" t="s">
        <v>7</v>
      </c>
    </row>
    <row r="1523" spans="1:1">
      <c r="A1523" s="5" t="s">
        <v>6</v>
      </c>
    </row>
    <row r="1524" spans="1:1">
      <c r="A1524" s="5" t="s">
        <v>169</v>
      </c>
    </row>
    <row r="1525" spans="1:1">
      <c r="A1525" s="5" t="s">
        <v>170</v>
      </c>
    </row>
    <row r="1526" spans="1:1">
      <c r="A1526" s="6"/>
    </row>
    <row r="1527" spans="1:1">
      <c r="A1527" s="5" t="s">
        <v>15</v>
      </c>
    </row>
    <row r="1528" spans="1:1">
      <c r="A1528" s="5" t="s">
        <v>171</v>
      </c>
    </row>
    <row r="1529" spans="1:1">
      <c r="A1529" s="5" t="s">
        <v>172</v>
      </c>
    </row>
    <row r="1530" spans="1:1">
      <c r="A1530" s="5" t="s">
        <v>173</v>
      </c>
    </row>
    <row r="1531" spans="1:1">
      <c r="A1531" s="5" t="s">
        <v>174</v>
      </c>
    </row>
    <row r="1532" spans="1:1">
      <c r="A1532" s="5" t="s">
        <v>6</v>
      </c>
    </row>
    <row r="1533" spans="1:1">
      <c r="A1533" s="5" t="s">
        <v>175</v>
      </c>
    </row>
    <row r="1534" spans="1:1">
      <c r="A1534" s="5" t="s">
        <v>17</v>
      </c>
    </row>
    <row r="1535" spans="1:1">
      <c r="A1535" s="5" t="s">
        <v>176</v>
      </c>
    </row>
    <row r="1536" spans="1:1">
      <c r="A1536" s="6"/>
    </row>
    <row r="1537" spans="1:1">
      <c r="A1537" s="5" t="s">
        <v>18</v>
      </c>
    </row>
    <row r="1538" spans="1:1">
      <c r="A1538" s="7">
        <v>23980</v>
      </c>
    </row>
    <row r="1539" spans="1:1">
      <c r="A1539" s="6"/>
    </row>
    <row r="1540" spans="1:1">
      <c r="A1540" s="5" t="s">
        <v>19</v>
      </c>
    </row>
    <row r="1541" spans="1:1">
      <c r="A1541" s="5" t="s">
        <v>20</v>
      </c>
    </row>
    <row r="1542" spans="1:1">
      <c r="A1542" s="5" t="s">
        <v>21</v>
      </c>
    </row>
    <row r="1543" spans="1:1">
      <c r="A1543" s="5" t="s">
        <v>22</v>
      </c>
    </row>
    <row r="1544" spans="1:1">
      <c r="A1544" s="5" t="s">
        <v>23</v>
      </c>
    </row>
    <row r="1545" spans="1:1">
      <c r="A1545" s="5" t="s">
        <v>24</v>
      </c>
    </row>
    <row r="1546" spans="1:1">
      <c r="A1546" s="5" t="s">
        <v>25</v>
      </c>
    </row>
    <row r="1547" spans="1:1">
      <c r="A1547" s="5" t="s">
        <v>26</v>
      </c>
    </row>
    <row r="1548" spans="1:1">
      <c r="A1548" s="5" t="s">
        <v>27</v>
      </c>
    </row>
    <row r="1549" spans="1:1">
      <c r="A1549" s="5" t="s">
        <v>6</v>
      </c>
    </row>
    <row r="1550" spans="1:1">
      <c r="A1550" s="5" t="s">
        <v>28</v>
      </c>
    </row>
    <row r="1551" spans="1:1">
      <c r="A1551" s="5" t="s">
        <v>29</v>
      </c>
    </row>
    <row r="1552" spans="1:1">
      <c r="A1552" s="6"/>
    </row>
    <row r="1553" spans="1:1">
      <c r="A1553" s="6"/>
    </row>
    <row r="1554" spans="1:1">
      <c r="A1554" s="5" t="s">
        <v>6</v>
      </c>
    </row>
    <row r="1555" spans="1:1">
      <c r="A1555" s="5" t="s">
        <v>30</v>
      </c>
    </row>
    <row r="1556" spans="1:1">
      <c r="A1556" s="6"/>
    </row>
    <row r="1557" spans="1:1">
      <c r="A1557" s="5" t="s">
        <v>31</v>
      </c>
    </row>
    <row r="1558" spans="1:1">
      <c r="A1558" s="5" t="s">
        <v>32</v>
      </c>
    </row>
    <row r="1559" spans="1:1">
      <c r="A1559" s="5" t="s">
        <v>33</v>
      </c>
    </row>
    <row r="1560" spans="1:1">
      <c r="A1560" s="5" t="s">
        <v>34</v>
      </c>
    </row>
    <row r="1561" spans="1:1">
      <c r="A1561" s="5" t="s">
        <v>35</v>
      </c>
    </row>
    <row r="1562" spans="1:1">
      <c r="A1562" s="5" t="s">
        <v>36</v>
      </c>
    </row>
    <row r="1563" spans="1:1">
      <c r="A1563" s="5" t="s">
        <v>37</v>
      </c>
    </row>
    <row r="1564" spans="1:1">
      <c r="A1564" s="5" t="s">
        <v>38</v>
      </c>
    </row>
    <row r="1565" spans="1:1">
      <c r="A1565" s="5" t="s">
        <v>39</v>
      </c>
    </row>
    <row r="1566" spans="1:1">
      <c r="A1566" s="6"/>
    </row>
    <row r="1567" spans="1:1">
      <c r="A1567" s="5" t="s">
        <v>169</v>
      </c>
    </row>
    <row r="1568" spans="1:1">
      <c r="A1568" s="5" t="s">
        <v>170</v>
      </c>
    </row>
    <row r="1569" spans="1:1">
      <c r="A1569" s="6"/>
    </row>
    <row r="1570" spans="1:1">
      <c r="A1570" s="6"/>
    </row>
    <row r="1571" spans="1:1">
      <c r="A1571" s="5" t="s">
        <v>3</v>
      </c>
    </row>
    <row r="1572" spans="1:1">
      <c r="A1572" s="5" t="s">
        <v>4</v>
      </c>
    </row>
    <row r="1573" spans="1:1">
      <c r="A1573" s="5" t="s">
        <v>5</v>
      </c>
    </row>
    <row r="1574" spans="1:1">
      <c r="A1574" s="5" t="s">
        <v>6</v>
      </c>
    </row>
    <row r="1575" spans="1:1">
      <c r="A1575" s="5" t="s">
        <v>7</v>
      </c>
    </row>
    <row r="1576" spans="1:1">
      <c r="A1576" s="5" t="s">
        <v>6</v>
      </c>
    </row>
    <row r="1577" spans="1:1">
      <c r="A1577" s="5" t="s">
        <v>177</v>
      </c>
    </row>
    <row r="1578" spans="1:1">
      <c r="A1578" s="5" t="s">
        <v>178</v>
      </c>
    </row>
    <row r="1579" spans="1:1">
      <c r="A1579" s="6"/>
    </row>
    <row r="1580" spans="1:1">
      <c r="A1580" s="5" t="s">
        <v>179</v>
      </c>
    </row>
    <row r="1581" spans="1:1">
      <c r="A1581" s="5" t="s">
        <v>180</v>
      </c>
    </row>
    <row r="1582" spans="1:1">
      <c r="A1582" s="5" t="s">
        <v>181</v>
      </c>
    </row>
    <row r="1583" spans="1:1">
      <c r="A1583" s="5" t="s">
        <v>119</v>
      </c>
    </row>
    <row r="1584" spans="1:1">
      <c r="A1584" s="5" t="s">
        <v>6</v>
      </c>
    </row>
    <row r="1585" spans="1:1">
      <c r="A1585" s="5" t="s">
        <v>182</v>
      </c>
    </row>
    <row r="1586" spans="1:1">
      <c r="A1586" s="5" t="s">
        <v>63</v>
      </c>
    </row>
    <row r="1587" spans="1:1">
      <c r="A1587" s="5" t="s">
        <v>183</v>
      </c>
    </row>
    <row r="1588" spans="1:1">
      <c r="A1588" s="6"/>
    </row>
    <row r="1589" spans="1:1">
      <c r="A1589" s="5" t="s">
        <v>18</v>
      </c>
    </row>
    <row r="1590" spans="1:1">
      <c r="A1590" s="7">
        <v>37500</v>
      </c>
    </row>
    <row r="1591" spans="1:1">
      <c r="A1591" s="6"/>
    </row>
    <row r="1592" spans="1:1">
      <c r="A1592" s="5" t="s">
        <v>19</v>
      </c>
    </row>
    <row r="1593" spans="1:1">
      <c r="A1593" s="5" t="s">
        <v>20</v>
      </c>
    </row>
    <row r="1594" spans="1:1">
      <c r="A1594" s="5" t="s">
        <v>21</v>
      </c>
    </row>
    <row r="1595" spans="1:1">
      <c r="A1595" s="5" t="s">
        <v>22</v>
      </c>
    </row>
    <row r="1596" spans="1:1">
      <c r="A1596" s="5" t="s">
        <v>23</v>
      </c>
    </row>
    <row r="1597" spans="1:1">
      <c r="A1597" s="5" t="s">
        <v>24</v>
      </c>
    </row>
    <row r="1598" spans="1:1">
      <c r="A1598" s="5" t="s">
        <v>25</v>
      </c>
    </row>
    <row r="1599" spans="1:1">
      <c r="A1599" s="5" t="s">
        <v>26</v>
      </c>
    </row>
    <row r="1600" spans="1:1">
      <c r="A1600" s="5" t="s">
        <v>27</v>
      </c>
    </row>
    <row r="1601" spans="1:1">
      <c r="A1601" s="5" t="s">
        <v>6</v>
      </c>
    </row>
    <row r="1602" spans="1:1">
      <c r="A1602" s="5" t="s">
        <v>28</v>
      </c>
    </row>
    <row r="1603" spans="1:1">
      <c r="A1603" s="5" t="s">
        <v>29</v>
      </c>
    </row>
    <row r="1604" spans="1:1">
      <c r="A1604" s="6"/>
    </row>
    <row r="1605" spans="1:1">
      <c r="A1605" s="6"/>
    </row>
    <row r="1606" spans="1:1">
      <c r="A1606" s="5" t="s">
        <v>6</v>
      </c>
    </row>
    <row r="1607" spans="1:1">
      <c r="A1607" s="5" t="s">
        <v>30</v>
      </c>
    </row>
    <row r="1608" spans="1:1">
      <c r="A1608" s="6"/>
    </row>
    <row r="1609" spans="1:1">
      <c r="A1609" s="5" t="s">
        <v>31</v>
      </c>
    </row>
    <row r="1610" spans="1:1">
      <c r="A1610" s="5" t="s">
        <v>32</v>
      </c>
    </row>
    <row r="1611" spans="1:1">
      <c r="A1611" s="5" t="s">
        <v>33</v>
      </c>
    </row>
    <row r="1612" spans="1:1">
      <c r="A1612" s="5" t="s">
        <v>34</v>
      </c>
    </row>
    <row r="1613" spans="1:1">
      <c r="A1613" s="5" t="s">
        <v>35</v>
      </c>
    </row>
    <row r="1614" spans="1:1">
      <c r="A1614" s="5" t="s">
        <v>36</v>
      </c>
    </row>
    <row r="1615" spans="1:1">
      <c r="A1615" s="5" t="s">
        <v>37</v>
      </c>
    </row>
    <row r="1616" spans="1:1">
      <c r="A1616" s="5" t="s">
        <v>38</v>
      </c>
    </row>
    <row r="1617" spans="1:1">
      <c r="A1617" s="5" t="s">
        <v>39</v>
      </c>
    </row>
    <row r="1618" spans="1:1">
      <c r="A1618" s="6"/>
    </row>
    <row r="1619" spans="1:1">
      <c r="A1619" s="5" t="s">
        <v>177</v>
      </c>
    </row>
    <row r="1620" spans="1:1">
      <c r="A1620" s="5" t="s">
        <v>178</v>
      </c>
    </row>
    <row r="1621" spans="1:1">
      <c r="A1621" s="6"/>
    </row>
    <row r="1622" spans="1:1">
      <c r="A1622" s="6"/>
    </row>
    <row r="1623" spans="1:1">
      <c r="A1623" s="6"/>
    </row>
    <row r="1624" spans="1:1">
      <c r="A1624" s="6"/>
    </row>
    <row r="1625" spans="1:1">
      <c r="A1625" s="5" t="s">
        <v>6</v>
      </c>
    </row>
    <row r="1626" spans="1:1">
      <c r="A1626" s="5" t="s">
        <v>40</v>
      </c>
    </row>
    <row r="1627" spans="1:1">
      <c r="A1627" s="6"/>
    </row>
    <row r="1628" spans="1:1">
      <c r="A1628" s="5" t="s">
        <v>41</v>
      </c>
    </row>
    <row r="1629" spans="1:1">
      <c r="A1629" s="6"/>
    </row>
    <row r="1630" spans="1:1">
      <c r="A1630" s="5" t="s">
        <v>42</v>
      </c>
    </row>
    <row r="1631" spans="1:1">
      <c r="A1631" s="6"/>
    </row>
    <row r="1632" spans="1:1">
      <c r="A1632" s="5" t="s">
        <v>43</v>
      </c>
    </row>
    <row r="1633" spans="1:1">
      <c r="A1633" s="5" t="s">
        <v>44</v>
      </c>
    </row>
    <row r="1634" spans="1:1">
      <c r="A1634" s="5" t="s">
        <v>45</v>
      </c>
    </row>
    <row r="1635" spans="1:1">
      <c r="A1635" s="5" t="s">
        <v>46</v>
      </c>
    </row>
    <row r="1636" spans="1:1">
      <c r="A1636" s="5" t="s">
        <v>47</v>
      </c>
    </row>
    <row r="1637" spans="1:1">
      <c r="A1637" s="5" t="s">
        <v>37</v>
      </c>
    </row>
    <row r="1638" spans="1:1">
      <c r="A1638" s="6"/>
    </row>
    <row r="1639" spans="1:1">
      <c r="A1639" s="5" t="s">
        <v>177</v>
      </c>
    </row>
    <row r="1640" spans="1:1">
      <c r="A1640" s="5" t="s">
        <v>178</v>
      </c>
    </row>
    <row r="1641" spans="1:1">
      <c r="A1641" s="6"/>
    </row>
    <row r="1642" spans="1:1">
      <c r="A1642" s="6"/>
    </row>
    <row r="1643" spans="1:1">
      <c r="A1643" s="5" t="s">
        <v>3</v>
      </c>
    </row>
    <row r="1644" spans="1:1">
      <c r="A1644" s="5" t="s">
        <v>4</v>
      </c>
    </row>
    <row r="1645" spans="1:1">
      <c r="A1645" s="5" t="s">
        <v>5</v>
      </c>
    </row>
    <row r="1646" spans="1:1">
      <c r="A1646" s="5" t="s">
        <v>6</v>
      </c>
    </row>
    <row r="1647" spans="1:1">
      <c r="A1647" s="5" t="s">
        <v>7</v>
      </c>
    </row>
    <row r="1648" spans="1:1">
      <c r="A1648" s="5" t="s">
        <v>6</v>
      </c>
    </row>
    <row r="1649" spans="1:1">
      <c r="A1649" s="5" t="s">
        <v>184</v>
      </c>
    </row>
    <row r="1650" spans="1:1">
      <c r="A1650" s="5" t="s">
        <v>185</v>
      </c>
    </row>
    <row r="1651" spans="1:1">
      <c r="A1651" s="6"/>
    </row>
    <row r="1652" spans="1:1">
      <c r="A1652" s="5" t="s">
        <v>50</v>
      </c>
    </row>
    <row r="1653" spans="1:1">
      <c r="A1653" s="5" t="s">
        <v>103</v>
      </c>
    </row>
    <row r="1654" spans="1:1">
      <c r="A1654" s="5" t="s">
        <v>6</v>
      </c>
    </row>
    <row r="1655" spans="1:1">
      <c r="A1655" s="5" t="s">
        <v>51</v>
      </c>
    </row>
    <row r="1656" spans="1:1">
      <c r="A1656" s="5" t="s">
        <v>52</v>
      </c>
    </row>
    <row r="1657" spans="1:1">
      <c r="A1657" s="5" t="s">
        <v>53</v>
      </c>
    </row>
    <row r="1658" spans="1:1">
      <c r="A1658" s="6"/>
    </row>
    <row r="1659" spans="1:1">
      <c r="A1659" s="5" t="s">
        <v>19</v>
      </c>
    </row>
    <row r="1660" spans="1:1">
      <c r="A1660" s="5" t="s">
        <v>20</v>
      </c>
    </row>
    <row r="1661" spans="1:1">
      <c r="A1661" s="5" t="s">
        <v>21</v>
      </c>
    </row>
    <row r="1662" spans="1:1">
      <c r="A1662" s="5" t="s">
        <v>22</v>
      </c>
    </row>
    <row r="1663" spans="1:1">
      <c r="A1663" s="5" t="s">
        <v>23</v>
      </c>
    </row>
    <row r="1664" spans="1:1">
      <c r="A1664" s="5" t="s">
        <v>24</v>
      </c>
    </row>
    <row r="1665" spans="1:1">
      <c r="A1665" s="5" t="s">
        <v>25</v>
      </c>
    </row>
    <row r="1666" spans="1:1">
      <c r="A1666" s="5" t="s">
        <v>26</v>
      </c>
    </row>
    <row r="1667" spans="1:1">
      <c r="A1667" s="5" t="s">
        <v>27</v>
      </c>
    </row>
    <row r="1668" spans="1:1">
      <c r="A1668" s="5" t="s">
        <v>6</v>
      </c>
    </row>
    <row r="1669" spans="1:1">
      <c r="A1669" s="5" t="s">
        <v>28</v>
      </c>
    </row>
    <row r="1670" spans="1:1">
      <c r="A1670" s="5" t="s">
        <v>29</v>
      </c>
    </row>
    <row r="1671" spans="1:1">
      <c r="A1671" s="6"/>
    </row>
    <row r="1672" spans="1:1">
      <c r="A1672" s="6"/>
    </row>
    <row r="1673" spans="1:1">
      <c r="A1673" s="5" t="s">
        <v>6</v>
      </c>
    </row>
    <row r="1674" spans="1:1">
      <c r="A1674" s="5" t="s">
        <v>30</v>
      </c>
    </row>
    <row r="1675" spans="1:1">
      <c r="A1675" s="6"/>
    </row>
    <row r="1676" spans="1:1">
      <c r="A1676" s="5" t="s">
        <v>31</v>
      </c>
    </row>
    <row r="1677" spans="1:1">
      <c r="A1677" s="5" t="s">
        <v>32</v>
      </c>
    </row>
    <row r="1678" spans="1:1">
      <c r="A1678" s="5" t="s">
        <v>33</v>
      </c>
    </row>
    <row r="1679" spans="1:1">
      <c r="A1679" s="5" t="s">
        <v>34</v>
      </c>
    </row>
    <row r="1680" spans="1:1">
      <c r="A1680" s="5" t="s">
        <v>35</v>
      </c>
    </row>
    <row r="1681" spans="1:1">
      <c r="A1681" s="5" t="s">
        <v>36</v>
      </c>
    </row>
    <row r="1682" spans="1:1">
      <c r="A1682" s="5" t="s">
        <v>37</v>
      </c>
    </row>
    <row r="1683" spans="1:1">
      <c r="A1683" s="5" t="s">
        <v>38</v>
      </c>
    </row>
    <row r="1684" spans="1:1">
      <c r="A1684" s="5" t="s">
        <v>39</v>
      </c>
    </row>
    <row r="1685" spans="1:1">
      <c r="A1685" s="6"/>
    </row>
    <row r="1686" spans="1:1">
      <c r="A1686" s="5" t="s">
        <v>184</v>
      </c>
    </row>
    <row r="1687" spans="1:1">
      <c r="A1687" s="5" t="s">
        <v>185</v>
      </c>
    </row>
    <row r="1688" spans="1:1">
      <c r="A1688" s="6"/>
    </row>
    <row r="1689" spans="1:1">
      <c r="A1689" s="6"/>
    </row>
    <row r="1690" spans="1:1">
      <c r="A1690" s="6"/>
    </row>
    <row r="1691" spans="1:1">
      <c r="A1691" s="6"/>
    </row>
    <row r="1692" spans="1:1">
      <c r="A1692" s="5" t="s">
        <v>6</v>
      </c>
    </row>
    <row r="1693" spans="1:1">
      <c r="A1693" s="5" t="s">
        <v>40</v>
      </c>
    </row>
    <row r="1694" spans="1:1">
      <c r="A1694" s="6"/>
    </row>
    <row r="1695" spans="1:1">
      <c r="A1695" s="5" t="s">
        <v>41</v>
      </c>
    </row>
    <row r="1696" spans="1:1">
      <c r="A1696" s="6"/>
    </row>
    <row r="1697" spans="1:1">
      <c r="A1697" s="5" t="s">
        <v>42</v>
      </c>
    </row>
    <row r="1698" spans="1:1">
      <c r="A1698" s="6"/>
    </row>
    <row r="1699" spans="1:1">
      <c r="A1699" s="5" t="s">
        <v>43</v>
      </c>
    </row>
    <row r="1700" spans="1:1">
      <c r="A1700" s="5" t="s">
        <v>44</v>
      </c>
    </row>
    <row r="1701" spans="1:1">
      <c r="A1701" s="5" t="s">
        <v>45</v>
      </c>
    </row>
    <row r="1702" spans="1:1">
      <c r="A1702" s="5" t="s">
        <v>46</v>
      </c>
    </row>
    <row r="1703" spans="1:1">
      <c r="A1703" s="5" t="s">
        <v>47</v>
      </c>
    </row>
    <row r="1704" spans="1:1">
      <c r="A1704" s="5" t="s">
        <v>37</v>
      </c>
    </row>
    <row r="1705" spans="1:1">
      <c r="A1705" s="6"/>
    </row>
    <row r="1706" spans="1:1">
      <c r="A1706" s="5" t="s">
        <v>184</v>
      </c>
    </row>
    <row r="1707" spans="1:1">
      <c r="A1707" s="5" t="s">
        <v>185</v>
      </c>
    </row>
    <row r="1708" spans="1:1">
      <c r="A1708" s="6"/>
    </row>
    <row r="1709" spans="1:1">
      <c r="A1709" s="6"/>
    </row>
    <row r="1710" spans="1:1">
      <c r="A1710" s="5" t="s">
        <v>3</v>
      </c>
    </row>
    <row r="1711" spans="1:1">
      <c r="A1711" s="5" t="s">
        <v>4</v>
      </c>
    </row>
    <row r="1712" spans="1:1">
      <c r="A1712" s="5" t="s">
        <v>5</v>
      </c>
    </row>
    <row r="1713" spans="1:1">
      <c r="A1713" s="5" t="s">
        <v>6</v>
      </c>
    </row>
    <row r="1714" spans="1:1">
      <c r="A1714" s="5" t="s">
        <v>7</v>
      </c>
    </row>
    <row r="1715" spans="1:1">
      <c r="A1715" s="5" t="s">
        <v>6</v>
      </c>
    </row>
    <row r="1716" spans="1:1">
      <c r="A1716" s="5" t="s">
        <v>186</v>
      </c>
    </row>
    <row r="1717" spans="1:1">
      <c r="A1717" s="5" t="s">
        <v>187</v>
      </c>
    </row>
    <row r="1718" spans="1:1">
      <c r="A1718" s="6"/>
    </row>
    <row r="1719" spans="1:1">
      <c r="A1719" s="5" t="s">
        <v>106</v>
      </c>
    </row>
    <row r="1720" spans="1:1">
      <c r="A1720" s="5" t="s">
        <v>15</v>
      </c>
    </row>
    <row r="1721" spans="1:1">
      <c r="A1721" s="5" t="s">
        <v>6</v>
      </c>
    </row>
    <row r="1722" spans="1:1">
      <c r="A1722" s="5" t="s">
        <v>91</v>
      </c>
    </row>
    <row r="1723" spans="1:1">
      <c r="A1723" s="5" t="s">
        <v>188</v>
      </c>
    </row>
    <row r="1724" spans="1:1">
      <c r="A1724" s="6"/>
    </row>
    <row r="1725" spans="1:1">
      <c r="A1725" s="5" t="s">
        <v>19</v>
      </c>
    </row>
    <row r="1726" spans="1:1">
      <c r="A1726" s="5" t="s">
        <v>20</v>
      </c>
    </row>
    <row r="1727" spans="1:1">
      <c r="A1727" s="5" t="s">
        <v>21</v>
      </c>
    </row>
    <row r="1728" spans="1:1">
      <c r="A1728" s="5" t="s">
        <v>22</v>
      </c>
    </row>
    <row r="1729" spans="1:1">
      <c r="A1729" s="5" t="s">
        <v>23</v>
      </c>
    </row>
    <row r="1730" spans="1:1">
      <c r="A1730" s="5" t="s">
        <v>24</v>
      </c>
    </row>
    <row r="1731" spans="1:1">
      <c r="A1731" s="5" t="s">
        <v>25</v>
      </c>
    </row>
    <row r="1732" spans="1:1">
      <c r="A1732" s="5" t="s">
        <v>26</v>
      </c>
    </row>
    <row r="1733" spans="1:1">
      <c r="A1733" s="5" t="s">
        <v>27</v>
      </c>
    </row>
    <row r="1734" spans="1:1">
      <c r="A1734" s="5" t="s">
        <v>6</v>
      </c>
    </row>
    <row r="1735" spans="1:1">
      <c r="A1735" s="5" t="s">
        <v>28</v>
      </c>
    </row>
    <row r="1736" spans="1:1">
      <c r="A1736" s="5" t="s">
        <v>29</v>
      </c>
    </row>
    <row r="1737" spans="1:1">
      <c r="A1737" s="6"/>
    </row>
    <row r="1738" spans="1:1">
      <c r="A1738" s="6"/>
    </row>
    <row r="1739" spans="1:1">
      <c r="A1739" s="5" t="s">
        <v>6</v>
      </c>
    </row>
    <row r="1740" spans="1:1">
      <c r="A1740" s="5" t="s">
        <v>30</v>
      </c>
    </row>
    <row r="1741" spans="1:1">
      <c r="A1741" s="6"/>
    </row>
    <row r="1742" spans="1:1">
      <c r="A1742" s="5" t="s">
        <v>31</v>
      </c>
    </row>
    <row r="1743" spans="1:1">
      <c r="A1743" s="5" t="s">
        <v>32</v>
      </c>
    </row>
    <row r="1744" spans="1:1">
      <c r="A1744" s="5" t="s">
        <v>33</v>
      </c>
    </row>
    <row r="1745" spans="1:1">
      <c r="A1745" s="5" t="s">
        <v>34</v>
      </c>
    </row>
    <row r="1746" spans="1:1">
      <c r="A1746" s="5" t="s">
        <v>35</v>
      </c>
    </row>
    <row r="1747" spans="1:1">
      <c r="A1747" s="5" t="s">
        <v>36</v>
      </c>
    </row>
    <row r="1748" spans="1:1">
      <c r="A1748" s="5" t="s">
        <v>37</v>
      </c>
    </row>
    <row r="1749" spans="1:1">
      <c r="A1749" s="5" t="s">
        <v>38</v>
      </c>
    </row>
    <row r="1750" spans="1:1">
      <c r="A1750" s="5" t="s">
        <v>39</v>
      </c>
    </row>
    <row r="1751" spans="1:1">
      <c r="A1751" s="6"/>
    </row>
    <row r="1752" spans="1:1">
      <c r="A1752" s="5" t="s">
        <v>186</v>
      </c>
    </row>
    <row r="1753" spans="1:1">
      <c r="A1753" s="5" t="s">
        <v>187</v>
      </c>
    </row>
    <row r="1754" spans="1:1">
      <c r="A1754" s="6"/>
    </row>
    <row r="1755" spans="1:1">
      <c r="A1755" s="6"/>
    </row>
    <row r="1756" spans="1:1">
      <c r="A1756" s="6"/>
    </row>
    <row r="1757" spans="1:1">
      <c r="A1757" s="6"/>
    </row>
    <row r="1758" spans="1:1">
      <c r="A1758" s="5" t="s">
        <v>6</v>
      </c>
    </row>
    <row r="1759" spans="1:1">
      <c r="A1759" s="5" t="s">
        <v>40</v>
      </c>
    </row>
    <row r="1760" spans="1:1">
      <c r="A1760" s="6"/>
    </row>
    <row r="1761" spans="1:1">
      <c r="A1761" s="5" t="s">
        <v>41</v>
      </c>
    </row>
    <row r="1762" spans="1:1">
      <c r="A1762" s="6"/>
    </row>
    <row r="1763" spans="1:1">
      <c r="A1763" s="5" t="s">
        <v>42</v>
      </c>
    </row>
    <row r="1764" spans="1:1">
      <c r="A1764" s="6"/>
    </row>
    <row r="1765" spans="1:1">
      <c r="A1765" s="5" t="s">
        <v>43</v>
      </c>
    </row>
    <row r="1766" spans="1:1">
      <c r="A1766" s="5" t="s">
        <v>44</v>
      </c>
    </row>
    <row r="1767" spans="1:1">
      <c r="A1767" s="5" t="s">
        <v>45</v>
      </c>
    </row>
    <row r="1768" spans="1:1">
      <c r="A1768" s="5" t="s">
        <v>46</v>
      </c>
    </row>
    <row r="1769" spans="1:1">
      <c r="A1769" s="5" t="s">
        <v>47</v>
      </c>
    </row>
    <row r="1770" spans="1:1">
      <c r="A1770" s="5" t="s">
        <v>37</v>
      </c>
    </row>
    <row r="1771" spans="1:1">
      <c r="A1771" s="6"/>
    </row>
    <row r="1772" spans="1:1">
      <c r="A1772" s="5" t="s">
        <v>186</v>
      </c>
    </row>
    <row r="1773" spans="1:1">
      <c r="A1773" s="5" t="s">
        <v>187</v>
      </c>
    </row>
    <row r="1774" spans="1:1">
      <c r="A1774" s="6"/>
    </row>
    <row r="1775" spans="1:1">
      <c r="A1775" s="6"/>
    </row>
    <row r="1776" spans="1:1">
      <c r="A1776" s="5" t="s">
        <v>3</v>
      </c>
    </row>
    <row r="1777" spans="1:1">
      <c r="A1777" s="5" t="s">
        <v>4</v>
      </c>
    </row>
    <row r="1778" spans="1:1">
      <c r="A1778" s="5" t="s">
        <v>5</v>
      </c>
    </row>
    <row r="1779" spans="1:1">
      <c r="A1779" s="5" t="s">
        <v>6</v>
      </c>
    </row>
    <row r="1780" spans="1:1">
      <c r="A1780" s="5" t="s">
        <v>7</v>
      </c>
    </row>
    <row r="1781" spans="1:1">
      <c r="A1781" s="5" t="s">
        <v>6</v>
      </c>
    </row>
    <row r="1782" spans="1:1">
      <c r="A1782" s="5" t="s">
        <v>189</v>
      </c>
    </row>
    <row r="1783" spans="1:1">
      <c r="A1783" s="5" t="s">
        <v>190</v>
      </c>
    </row>
    <row r="1784" spans="1:1">
      <c r="A1784" s="6"/>
    </row>
    <row r="1785" spans="1:1">
      <c r="A1785" s="5" t="s">
        <v>106</v>
      </c>
    </row>
    <row r="1786" spans="1:1">
      <c r="A1786" s="5" t="s">
        <v>15</v>
      </c>
    </row>
    <row r="1787" spans="1:1">
      <c r="A1787" s="5" t="s">
        <v>6</v>
      </c>
    </row>
    <row r="1788" spans="1:1">
      <c r="A1788" s="5" t="s">
        <v>91</v>
      </c>
    </row>
    <row r="1789" spans="1:1">
      <c r="A1789" s="5" t="s">
        <v>191</v>
      </c>
    </row>
    <row r="1790" spans="1:1">
      <c r="A1790" s="5" t="s">
        <v>192</v>
      </c>
    </row>
    <row r="1791" spans="1:1">
      <c r="A1791" s="6"/>
    </row>
    <row r="1792" spans="1:1">
      <c r="A1792" s="5" t="s">
        <v>19</v>
      </c>
    </row>
    <row r="1793" spans="1:1">
      <c r="A1793" s="5" t="s">
        <v>20</v>
      </c>
    </row>
    <row r="1794" spans="1:1">
      <c r="A1794" s="5" t="s">
        <v>21</v>
      </c>
    </row>
    <row r="1795" spans="1:1">
      <c r="A1795" s="5" t="s">
        <v>22</v>
      </c>
    </row>
    <row r="1796" spans="1:1">
      <c r="A1796" s="5" t="s">
        <v>23</v>
      </c>
    </row>
    <row r="1797" spans="1:1">
      <c r="A1797" s="5" t="s">
        <v>24</v>
      </c>
    </row>
    <row r="1798" spans="1:1">
      <c r="A1798" s="5" t="s">
        <v>25</v>
      </c>
    </row>
    <row r="1799" spans="1:1">
      <c r="A1799" s="5" t="s">
        <v>26</v>
      </c>
    </row>
    <row r="1800" spans="1:1">
      <c r="A1800" s="5" t="s">
        <v>27</v>
      </c>
    </row>
    <row r="1801" spans="1:1">
      <c r="A1801" s="5" t="s">
        <v>6</v>
      </c>
    </row>
    <row r="1802" spans="1:1">
      <c r="A1802" s="5" t="s">
        <v>28</v>
      </c>
    </row>
    <row r="1803" spans="1:1">
      <c r="A1803" s="5" t="s">
        <v>29</v>
      </c>
    </row>
    <row r="1804" spans="1:1">
      <c r="A1804" s="6"/>
    </row>
    <row r="1805" spans="1:1">
      <c r="A1805" s="6"/>
    </row>
    <row r="1806" spans="1:1">
      <c r="A1806" s="5" t="s">
        <v>6</v>
      </c>
    </row>
    <row r="1807" spans="1:1">
      <c r="A1807" s="5" t="s">
        <v>30</v>
      </c>
    </row>
    <row r="1808" spans="1:1">
      <c r="A1808" s="6"/>
    </row>
    <row r="1809" spans="1:1">
      <c r="A1809" s="5" t="s">
        <v>31</v>
      </c>
    </row>
    <row r="1810" spans="1:1">
      <c r="A1810" s="5" t="s">
        <v>32</v>
      </c>
    </row>
    <row r="1811" spans="1:1">
      <c r="A1811" s="5" t="s">
        <v>33</v>
      </c>
    </row>
    <row r="1812" spans="1:1">
      <c r="A1812" s="5" t="s">
        <v>34</v>
      </c>
    </row>
    <row r="1813" spans="1:1">
      <c r="A1813" s="5" t="s">
        <v>35</v>
      </c>
    </row>
    <row r="1814" spans="1:1">
      <c r="A1814" s="5" t="s">
        <v>36</v>
      </c>
    </row>
    <row r="1815" spans="1:1">
      <c r="A1815" s="5" t="s">
        <v>37</v>
      </c>
    </row>
    <row r="1816" spans="1:1">
      <c r="A1816" s="5" t="s">
        <v>38</v>
      </c>
    </row>
    <row r="1817" spans="1:1">
      <c r="A1817" s="5" t="s">
        <v>39</v>
      </c>
    </row>
    <row r="1818" spans="1:1">
      <c r="A1818" s="6"/>
    </row>
    <row r="1819" spans="1:1">
      <c r="A1819" s="5" t="s">
        <v>189</v>
      </c>
    </row>
    <row r="1820" spans="1:1">
      <c r="A1820" s="5" t="s">
        <v>190</v>
      </c>
    </row>
    <row r="1821" spans="1:1">
      <c r="A1821" s="6"/>
    </row>
    <row r="1822" spans="1:1">
      <c r="A1822" s="6"/>
    </row>
    <row r="1823" spans="1:1">
      <c r="A1823" s="6"/>
    </row>
    <row r="1824" spans="1:1">
      <c r="A1824" s="6"/>
    </row>
    <row r="1825" spans="1:1">
      <c r="A1825" s="5" t="s">
        <v>6</v>
      </c>
    </row>
    <row r="1826" spans="1:1">
      <c r="A1826" s="5" t="s">
        <v>40</v>
      </c>
    </row>
    <row r="1827" spans="1:1">
      <c r="A1827" s="6"/>
    </row>
    <row r="1828" spans="1:1">
      <c r="A1828" s="5" t="s">
        <v>41</v>
      </c>
    </row>
    <row r="1829" spans="1:1">
      <c r="A1829" s="6"/>
    </row>
    <row r="1830" spans="1:1">
      <c r="A1830" s="5" t="s">
        <v>42</v>
      </c>
    </row>
    <row r="1831" spans="1:1">
      <c r="A1831" s="6"/>
    </row>
    <row r="1832" spans="1:1">
      <c r="A1832" s="5" t="s">
        <v>43</v>
      </c>
    </row>
    <row r="1833" spans="1:1">
      <c r="A1833" s="5" t="s">
        <v>44</v>
      </c>
    </row>
    <row r="1834" spans="1:1">
      <c r="A1834" s="5" t="s">
        <v>45</v>
      </c>
    </row>
    <row r="1835" spans="1:1">
      <c r="A1835" s="5" t="s">
        <v>46</v>
      </c>
    </row>
    <row r="1836" spans="1:1">
      <c r="A1836" s="5" t="s">
        <v>47</v>
      </c>
    </row>
    <row r="1837" spans="1:1">
      <c r="A1837" s="5" t="s">
        <v>37</v>
      </c>
    </row>
    <row r="1838" spans="1:1">
      <c r="A1838" s="6"/>
    </row>
    <row r="1839" spans="1:1">
      <c r="A1839" s="5" t="s">
        <v>189</v>
      </c>
    </row>
    <row r="1840" spans="1:1">
      <c r="A1840" s="5" t="s">
        <v>190</v>
      </c>
    </row>
    <row r="1841" spans="1:1">
      <c r="A1841" s="6"/>
    </row>
    <row r="1842" spans="1:1">
      <c r="A1842" s="6"/>
    </row>
    <row r="1843" spans="1:1">
      <c r="A1843" s="5" t="s">
        <v>3</v>
      </c>
    </row>
    <row r="1844" spans="1:1">
      <c r="A1844" s="5" t="s">
        <v>4</v>
      </c>
    </row>
    <row r="1845" spans="1:1">
      <c r="A1845" s="5" t="s">
        <v>5</v>
      </c>
    </row>
    <row r="1846" spans="1:1">
      <c r="A1846" s="5" t="s">
        <v>6</v>
      </c>
    </row>
    <row r="1847" spans="1:1">
      <c r="A1847" s="5" t="s">
        <v>7</v>
      </c>
    </row>
    <row r="1848" spans="1:1">
      <c r="A1848" s="5" t="s">
        <v>6</v>
      </c>
    </row>
    <row r="1849" spans="1:1">
      <c r="A1849" s="5" t="s">
        <v>193</v>
      </c>
    </row>
    <row r="1850" spans="1:1">
      <c r="A1850" s="5" t="s">
        <v>194</v>
      </c>
    </row>
    <row r="1851" spans="1:1">
      <c r="A1851" s="6"/>
    </row>
    <row r="1852" spans="1:1">
      <c r="A1852" s="5" t="s">
        <v>195</v>
      </c>
    </row>
    <row r="1853" spans="1:1">
      <c r="A1853" s="5" t="s">
        <v>3</v>
      </c>
    </row>
    <row r="1854" spans="1:1">
      <c r="A1854" s="5" t="s">
        <v>4</v>
      </c>
    </row>
    <row r="1855" spans="1:1">
      <c r="A1855" s="5" t="s">
        <v>5</v>
      </c>
    </row>
    <row r="1856" spans="1:1">
      <c r="A1856" s="5" t="s">
        <v>6</v>
      </c>
    </row>
    <row r="1857" spans="1:1">
      <c r="A1857" s="5" t="s">
        <v>7</v>
      </c>
    </row>
    <row r="1858" spans="1:1">
      <c r="A1858" s="5" t="s">
        <v>6</v>
      </c>
    </row>
    <row r="1859" spans="1:1">
      <c r="A1859" s="5" t="s">
        <v>196</v>
      </c>
    </row>
    <row r="1860" spans="1:1">
      <c r="A1860" s="5" t="s">
        <v>197</v>
      </c>
    </row>
    <row r="1861" spans="1:1">
      <c r="A1861" s="6"/>
    </row>
    <row r="1862" spans="1:1">
      <c r="A1862" s="5" t="s">
        <v>3</v>
      </c>
    </row>
    <row r="1863" spans="1:1">
      <c r="A1863" s="5" t="s">
        <v>4</v>
      </c>
    </row>
    <row r="1864" spans="1:1">
      <c r="A1864" s="5" t="s">
        <v>5</v>
      </c>
    </row>
    <row r="1865" spans="1:1">
      <c r="A1865" s="5" t="s">
        <v>6</v>
      </c>
    </row>
    <row r="1866" spans="1:1">
      <c r="A1866" s="5" t="s">
        <v>7</v>
      </c>
    </row>
    <row r="1867" spans="1:1">
      <c r="A1867" s="5" t="s">
        <v>6</v>
      </c>
    </row>
    <row r="1868" spans="1:1">
      <c r="A1868" s="5" t="s">
        <v>198</v>
      </c>
    </row>
    <row r="1869" spans="1:1">
      <c r="A1869" s="5" t="s">
        <v>199</v>
      </c>
    </row>
    <row r="1870" spans="1:1">
      <c r="A1870" s="6"/>
    </row>
    <row r="1871" spans="1:1">
      <c r="A1871" s="5" t="s">
        <v>12</v>
      </c>
    </row>
    <row r="1872" spans="1:1">
      <c r="A1872" s="5" t="s">
        <v>13</v>
      </c>
    </row>
    <row r="1873" spans="1:1">
      <c r="A1873" s="5" t="s">
        <v>200</v>
      </c>
    </row>
    <row r="1874" spans="1:1">
      <c r="A1874" s="5" t="s">
        <v>119</v>
      </c>
    </row>
    <row r="1875" spans="1:1">
      <c r="A1875" s="5" t="s">
        <v>6</v>
      </c>
    </row>
    <row r="1876" spans="1:1">
      <c r="A1876" s="5" t="s">
        <v>16</v>
      </c>
    </row>
    <row r="1877" spans="1:1">
      <c r="A1877" s="5" t="s">
        <v>17</v>
      </c>
    </row>
    <row r="1878" spans="1:1">
      <c r="A1878" s="6"/>
    </row>
    <row r="1879" spans="1:1">
      <c r="A1879" s="5" t="s">
        <v>18</v>
      </c>
    </row>
    <row r="1880" spans="1:1">
      <c r="A1880" s="7">
        <v>100000</v>
      </c>
    </row>
    <row r="1881" spans="1:1">
      <c r="A1881" s="6"/>
    </row>
    <row r="1882" spans="1:1">
      <c r="A1882" s="5" t="s">
        <v>19</v>
      </c>
    </row>
    <row r="1883" spans="1:1">
      <c r="A1883" s="5" t="s">
        <v>20</v>
      </c>
    </row>
    <row r="1884" spans="1:1">
      <c r="A1884" s="5" t="s">
        <v>21</v>
      </c>
    </row>
    <row r="1885" spans="1:1">
      <c r="A1885" s="5" t="s">
        <v>22</v>
      </c>
    </row>
    <row r="1886" spans="1:1">
      <c r="A1886" s="5" t="s">
        <v>23</v>
      </c>
    </row>
    <row r="1887" spans="1:1">
      <c r="A1887" s="5" t="s">
        <v>24</v>
      </c>
    </row>
    <row r="1888" spans="1:1">
      <c r="A1888" s="5" t="s">
        <v>25</v>
      </c>
    </row>
    <row r="1889" spans="1:1">
      <c r="A1889" s="5" t="s">
        <v>26</v>
      </c>
    </row>
    <row r="1890" spans="1:1">
      <c r="A1890" s="5" t="s">
        <v>27</v>
      </c>
    </row>
    <row r="1891" spans="1:1">
      <c r="A1891" s="5" t="s">
        <v>6</v>
      </c>
    </row>
    <row r="1892" spans="1:1">
      <c r="A1892" s="5" t="s">
        <v>28</v>
      </c>
    </row>
    <row r="1893" spans="1:1">
      <c r="A1893" s="5" t="s">
        <v>29</v>
      </c>
    </row>
    <row r="1894" spans="1:1">
      <c r="A1894" s="6"/>
    </row>
    <row r="1895" spans="1:1">
      <c r="A1895" s="6"/>
    </row>
    <row r="1896" spans="1:1">
      <c r="A1896" s="5" t="s">
        <v>6</v>
      </c>
    </row>
    <row r="1897" spans="1:1">
      <c r="A1897" s="5" t="s">
        <v>30</v>
      </c>
    </row>
    <row r="1898" spans="1:1">
      <c r="A1898" s="6"/>
    </row>
    <row r="1899" spans="1:1">
      <c r="A1899" s="5" t="s">
        <v>31</v>
      </c>
    </row>
    <row r="1900" spans="1:1">
      <c r="A1900" s="5" t="s">
        <v>32</v>
      </c>
    </row>
    <row r="1901" spans="1:1">
      <c r="A1901" s="5" t="s">
        <v>33</v>
      </c>
    </row>
    <row r="1902" spans="1:1">
      <c r="A1902" s="5" t="s">
        <v>34</v>
      </c>
    </row>
    <row r="1903" spans="1:1">
      <c r="A1903" s="5" t="s">
        <v>35</v>
      </c>
    </row>
    <row r="1904" spans="1:1">
      <c r="A1904" s="5" t="s">
        <v>36</v>
      </c>
    </row>
    <row r="1905" spans="1:1">
      <c r="A1905" s="5" t="s">
        <v>37</v>
      </c>
    </row>
    <row r="1906" spans="1:1">
      <c r="A1906" s="5" t="s">
        <v>38</v>
      </c>
    </row>
    <row r="1907" spans="1:1">
      <c r="A1907" s="5" t="s">
        <v>39</v>
      </c>
    </row>
    <row r="1908" spans="1:1">
      <c r="A1908" s="6"/>
    </row>
    <row r="1909" spans="1:1">
      <c r="A1909" s="5" t="s">
        <v>198</v>
      </c>
    </row>
    <row r="1910" spans="1:1">
      <c r="A1910" s="5" t="s">
        <v>199</v>
      </c>
    </row>
    <row r="1911" spans="1:1">
      <c r="A1911" s="6"/>
    </row>
    <row r="1912" spans="1:1">
      <c r="A1912" s="6"/>
    </row>
    <row r="1913" spans="1:1">
      <c r="A1913" s="6"/>
    </row>
    <row r="1914" spans="1:1">
      <c r="A1914" s="6"/>
    </row>
    <row r="1915" spans="1:1">
      <c r="A1915" s="5" t="s">
        <v>6</v>
      </c>
    </row>
    <row r="1916" spans="1:1">
      <c r="A1916" s="5" t="s">
        <v>40</v>
      </c>
    </row>
    <row r="1917" spans="1:1">
      <c r="A1917" s="6"/>
    </row>
    <row r="1918" spans="1:1">
      <c r="A1918" s="5" t="s">
        <v>41</v>
      </c>
    </row>
    <row r="1919" spans="1:1">
      <c r="A1919" s="6"/>
    </row>
    <row r="1920" spans="1:1">
      <c r="A1920" s="5" t="s">
        <v>42</v>
      </c>
    </row>
    <row r="1921" spans="1:1">
      <c r="A1921" s="6"/>
    </row>
    <row r="1922" spans="1:1">
      <c r="A1922" s="5" t="s">
        <v>43</v>
      </c>
    </row>
    <row r="1923" spans="1:1">
      <c r="A1923" s="5" t="s">
        <v>44</v>
      </c>
    </row>
    <row r="1924" spans="1:1">
      <c r="A1924" s="5" t="s">
        <v>45</v>
      </c>
    </row>
    <row r="1925" spans="1:1">
      <c r="A1925" s="5" t="s">
        <v>46</v>
      </c>
    </row>
    <row r="1926" spans="1:1">
      <c r="A1926" s="5" t="s">
        <v>47</v>
      </c>
    </row>
    <row r="1927" spans="1:1">
      <c r="A1927" s="5" t="s">
        <v>37</v>
      </c>
    </row>
    <row r="1928" spans="1:1">
      <c r="A1928" s="6"/>
    </row>
    <row r="1929" spans="1:1">
      <c r="A1929" s="5" t="s">
        <v>198</v>
      </c>
    </row>
    <row r="1930" spans="1:1">
      <c r="A1930" s="5" t="s">
        <v>199</v>
      </c>
    </row>
    <row r="1931" spans="1:1">
      <c r="A1931" s="6"/>
    </row>
    <row r="1932" spans="1:1">
      <c r="A1932" s="6"/>
    </row>
    <row r="1933" spans="1:1">
      <c r="A1933" s="5" t="s">
        <v>3</v>
      </c>
    </row>
    <row r="1934" spans="1:1">
      <c r="A1934" s="5" t="s">
        <v>4</v>
      </c>
    </row>
    <row r="1935" spans="1:1">
      <c r="A1935" s="5" t="s">
        <v>5</v>
      </c>
    </row>
    <row r="1936" spans="1:1">
      <c r="A1936" s="5" t="s">
        <v>6</v>
      </c>
    </row>
    <row r="1937" spans="1:1">
      <c r="A1937" s="5" t="s">
        <v>7</v>
      </c>
    </row>
    <row r="1938" spans="1:1">
      <c r="A1938" s="5" t="s">
        <v>6</v>
      </c>
    </row>
    <row r="1939" spans="1:1">
      <c r="A1939" s="5" t="s">
        <v>201</v>
      </c>
    </row>
    <row r="1940" spans="1:1">
      <c r="A1940" s="5" t="s">
        <v>202</v>
      </c>
    </row>
    <row r="1941" spans="1:1">
      <c r="A1941" s="6"/>
    </row>
    <row r="1942" spans="1:1">
      <c r="A1942" s="5" t="s">
        <v>203</v>
      </c>
    </row>
    <row r="1943" spans="1:1">
      <c r="A1943" s="5" t="s">
        <v>204</v>
      </c>
    </row>
    <row r="1944" spans="1:1">
      <c r="A1944" s="5" t="s">
        <v>205</v>
      </c>
    </row>
    <row r="1945" spans="1:1">
      <c r="A1945" s="5" t="s">
        <v>206</v>
      </c>
    </row>
    <row r="1946" spans="1:1">
      <c r="A1946" s="5" t="s">
        <v>15</v>
      </c>
    </row>
    <row r="1947" spans="1:1">
      <c r="A1947" s="5" t="s">
        <v>207</v>
      </c>
    </row>
    <row r="1948" spans="1:1">
      <c r="A1948" s="5" t="s">
        <v>6</v>
      </c>
    </row>
    <row r="1949" spans="1:1">
      <c r="A1949" s="5" t="s">
        <v>208</v>
      </c>
    </row>
    <row r="1950" spans="1:1">
      <c r="A1950" s="5" t="s">
        <v>209</v>
      </c>
    </row>
    <row r="1951" spans="1:1">
      <c r="A1951" s="5" t="s">
        <v>210</v>
      </c>
    </row>
    <row r="1952" spans="1:1">
      <c r="A1952" s="6"/>
    </row>
    <row r="1953" spans="1:1">
      <c r="A1953" s="5" t="s">
        <v>18</v>
      </c>
    </row>
    <row r="1954" spans="1:1">
      <c r="A1954" s="7">
        <v>230860</v>
      </c>
    </row>
    <row r="1955" spans="1:1">
      <c r="A1955" s="6"/>
    </row>
    <row r="1956" spans="1:1">
      <c r="A1956" s="5" t="s">
        <v>19</v>
      </c>
    </row>
    <row r="1957" spans="1:1">
      <c r="A1957" s="5" t="s">
        <v>20</v>
      </c>
    </row>
    <row r="1958" spans="1:1">
      <c r="A1958" s="5" t="s">
        <v>21</v>
      </c>
    </row>
    <row r="1959" spans="1:1">
      <c r="A1959" s="5" t="s">
        <v>22</v>
      </c>
    </row>
    <row r="1960" spans="1:1">
      <c r="A1960" s="5" t="s">
        <v>23</v>
      </c>
    </row>
    <row r="1961" spans="1:1">
      <c r="A1961" s="5" t="s">
        <v>24</v>
      </c>
    </row>
    <row r="1962" spans="1:1">
      <c r="A1962" s="5" t="s">
        <v>25</v>
      </c>
    </row>
    <row r="1963" spans="1:1">
      <c r="A1963" s="5" t="s">
        <v>26</v>
      </c>
    </row>
    <row r="1964" spans="1:1">
      <c r="A1964" s="5" t="s">
        <v>27</v>
      </c>
    </row>
    <row r="1965" spans="1:1">
      <c r="A1965" s="5" t="s">
        <v>6</v>
      </c>
    </row>
    <row r="1966" spans="1:1">
      <c r="A1966" s="5" t="s">
        <v>28</v>
      </c>
    </row>
    <row r="1967" spans="1:1">
      <c r="A1967" s="5" t="s">
        <v>29</v>
      </c>
    </row>
    <row r="1968" spans="1:1">
      <c r="A1968" s="6"/>
    </row>
    <row r="1969" spans="1:1">
      <c r="A1969" s="6"/>
    </row>
    <row r="1970" spans="1:1">
      <c r="A1970" s="5" t="s">
        <v>6</v>
      </c>
    </row>
    <row r="1971" spans="1:1">
      <c r="A1971" s="5" t="s">
        <v>30</v>
      </c>
    </row>
    <row r="1972" spans="1:1">
      <c r="A1972" s="6"/>
    </row>
    <row r="1973" spans="1:1">
      <c r="A1973" s="5" t="s">
        <v>31</v>
      </c>
    </row>
    <row r="1974" spans="1:1">
      <c r="A1974" s="5" t="s">
        <v>32</v>
      </c>
    </row>
    <row r="1975" spans="1:1">
      <c r="A1975" s="5" t="s">
        <v>33</v>
      </c>
    </row>
    <row r="1976" spans="1:1">
      <c r="A1976" s="5" t="s">
        <v>34</v>
      </c>
    </row>
    <row r="1977" spans="1:1">
      <c r="A1977" s="5" t="s">
        <v>35</v>
      </c>
    </row>
    <row r="1978" spans="1:1">
      <c r="A1978" s="5" t="s">
        <v>36</v>
      </c>
    </row>
    <row r="1979" spans="1:1">
      <c r="A1979" s="5" t="s">
        <v>37</v>
      </c>
    </row>
    <row r="1980" spans="1:1">
      <c r="A1980" s="5" t="s">
        <v>38</v>
      </c>
    </row>
    <row r="1981" spans="1:1">
      <c r="A1981" s="5" t="s">
        <v>39</v>
      </c>
    </row>
    <row r="1982" spans="1:1">
      <c r="A1982" s="6"/>
    </row>
    <row r="1983" spans="1:1">
      <c r="A1983" s="5" t="s">
        <v>201</v>
      </c>
    </row>
    <row r="1984" spans="1:1">
      <c r="A1984" s="5" t="s">
        <v>202</v>
      </c>
    </row>
    <row r="1985" spans="1:1">
      <c r="A1985" s="6"/>
    </row>
    <row r="1986" spans="1:1">
      <c r="A1986" s="6"/>
    </row>
    <row r="1987" spans="1:1">
      <c r="A1987" s="6"/>
    </row>
    <row r="1988" spans="1:1">
      <c r="A1988" s="6"/>
    </row>
    <row r="1989" spans="1:1">
      <c r="A1989" s="5" t="s">
        <v>6</v>
      </c>
    </row>
    <row r="1990" spans="1:1">
      <c r="A1990" s="5" t="s">
        <v>40</v>
      </c>
    </row>
    <row r="1991" spans="1:1">
      <c r="A1991" s="6"/>
    </row>
    <row r="1992" spans="1:1">
      <c r="A1992" s="5" t="s">
        <v>41</v>
      </c>
    </row>
    <row r="1993" spans="1:1">
      <c r="A1993" s="6"/>
    </row>
    <row r="1994" spans="1:1">
      <c r="A1994" s="5" t="s">
        <v>42</v>
      </c>
    </row>
    <row r="1995" spans="1:1">
      <c r="A1995" s="6"/>
    </row>
    <row r="1996" spans="1:1">
      <c r="A1996" s="5" t="s">
        <v>43</v>
      </c>
    </row>
    <row r="1997" spans="1:1">
      <c r="A1997" s="5" t="s">
        <v>44</v>
      </c>
    </row>
    <row r="1998" spans="1:1">
      <c r="A1998" s="5" t="s">
        <v>45</v>
      </c>
    </row>
    <row r="1999" spans="1:1">
      <c r="A1999" s="5" t="s">
        <v>46</v>
      </c>
    </row>
    <row r="2000" spans="1:1">
      <c r="A2000" s="5" t="s">
        <v>47</v>
      </c>
    </row>
    <row r="2001" spans="1:1">
      <c r="A2001" s="5" t="s">
        <v>37</v>
      </c>
    </row>
    <row r="2002" spans="1:1">
      <c r="A2002" s="6"/>
    </row>
    <row r="2003" spans="1:1">
      <c r="A2003" s="5" t="s">
        <v>201</v>
      </c>
    </row>
    <row r="2004" spans="1:1">
      <c r="A2004" s="5" t="s">
        <v>202</v>
      </c>
    </row>
    <row r="2005" spans="1:1">
      <c r="A2005" s="6"/>
    </row>
    <row r="2006" spans="1:1">
      <c r="A2006" s="6"/>
    </row>
    <row r="2007" spans="1:1">
      <c r="A2007" s="5" t="s">
        <v>3</v>
      </c>
    </row>
    <row r="2008" spans="1:1">
      <c r="A2008" s="5" t="s">
        <v>4</v>
      </c>
    </row>
    <row r="2009" spans="1:1">
      <c r="A2009" s="5" t="s">
        <v>5</v>
      </c>
    </row>
    <row r="2010" spans="1:1">
      <c r="A2010" s="5" t="s">
        <v>6</v>
      </c>
    </row>
    <row r="2011" spans="1:1">
      <c r="A2011" s="5" t="s">
        <v>7</v>
      </c>
    </row>
    <row r="2012" spans="1:1">
      <c r="A2012" s="5" t="s">
        <v>6</v>
      </c>
    </row>
    <row r="2013" spans="1:1">
      <c r="A2013" s="5" t="s">
        <v>211</v>
      </c>
    </row>
    <row r="2014" spans="1:1">
      <c r="A2014" s="5" t="s">
        <v>212</v>
      </c>
    </row>
    <row r="2015" spans="1:1">
      <c r="A2015" s="6"/>
    </row>
    <row r="2016" spans="1:1">
      <c r="A2016" s="5" t="s">
        <v>87</v>
      </c>
    </row>
    <row r="2017" spans="1:1">
      <c r="A2017" s="5" t="s">
        <v>88</v>
      </c>
    </row>
    <row r="2018" spans="1:1">
      <c r="A2018" s="5" t="s">
        <v>89</v>
      </c>
    </row>
    <row r="2019" spans="1:1">
      <c r="A2019" s="5" t="s">
        <v>119</v>
      </c>
    </row>
    <row r="2020" spans="1:1">
      <c r="A2020" s="5" t="s">
        <v>6</v>
      </c>
    </row>
    <row r="2021" spans="1:1">
      <c r="A2021" s="5" t="s">
        <v>91</v>
      </c>
    </row>
    <row r="2022" spans="1:1">
      <c r="A2022" s="5" t="s">
        <v>213</v>
      </c>
    </row>
    <row r="2023" spans="1:1">
      <c r="A2023" s="6"/>
    </row>
    <row r="2024" spans="1:1">
      <c r="A2024" s="5" t="s">
        <v>18</v>
      </c>
    </row>
    <row r="2025" spans="1:1">
      <c r="A2025" s="7">
        <v>45000</v>
      </c>
    </row>
    <row r="2026" spans="1:1">
      <c r="A2026" s="6"/>
    </row>
    <row r="2027" spans="1:1">
      <c r="A2027" s="5" t="s">
        <v>19</v>
      </c>
    </row>
    <row r="2028" spans="1:1">
      <c r="A2028" s="5" t="s">
        <v>20</v>
      </c>
    </row>
    <row r="2029" spans="1:1">
      <c r="A2029" s="5" t="s">
        <v>21</v>
      </c>
    </row>
    <row r="2030" spans="1:1">
      <c r="A2030" s="5" t="s">
        <v>22</v>
      </c>
    </row>
    <row r="2031" spans="1:1">
      <c r="A2031" s="5" t="s">
        <v>23</v>
      </c>
    </row>
    <row r="2032" spans="1:1">
      <c r="A2032" s="5" t="s">
        <v>24</v>
      </c>
    </row>
    <row r="2033" spans="1:1">
      <c r="A2033" s="5" t="s">
        <v>25</v>
      </c>
    </row>
    <row r="2034" spans="1:1">
      <c r="A2034" s="5" t="s">
        <v>26</v>
      </c>
    </row>
    <row r="2035" spans="1:1">
      <c r="A2035" s="5" t="s">
        <v>27</v>
      </c>
    </row>
    <row r="2036" spans="1:1">
      <c r="A2036" s="5" t="s">
        <v>6</v>
      </c>
    </row>
    <row r="2037" spans="1:1">
      <c r="A2037" s="5" t="s">
        <v>28</v>
      </c>
    </row>
    <row r="2038" spans="1:1">
      <c r="A2038" s="5" t="s">
        <v>29</v>
      </c>
    </row>
    <row r="2039" spans="1:1">
      <c r="A2039" s="6"/>
    </row>
    <row r="2040" spans="1:1">
      <c r="A2040" s="6"/>
    </row>
    <row r="2041" spans="1:1">
      <c r="A2041" s="5" t="s">
        <v>6</v>
      </c>
    </row>
    <row r="2042" spans="1:1">
      <c r="A2042" s="5" t="s">
        <v>30</v>
      </c>
    </row>
    <row r="2043" spans="1:1">
      <c r="A2043" s="6"/>
    </row>
    <row r="2044" spans="1:1">
      <c r="A2044" s="5" t="s">
        <v>31</v>
      </c>
    </row>
    <row r="2045" spans="1:1">
      <c r="A2045" s="5" t="s">
        <v>32</v>
      </c>
    </row>
    <row r="2046" spans="1:1">
      <c r="A2046" s="5" t="s">
        <v>33</v>
      </c>
    </row>
    <row r="2047" spans="1:1">
      <c r="A2047" s="5" t="s">
        <v>34</v>
      </c>
    </row>
    <row r="2048" spans="1:1">
      <c r="A2048" s="5" t="s">
        <v>35</v>
      </c>
    </row>
    <row r="2049" spans="1:1">
      <c r="A2049" s="5" t="s">
        <v>36</v>
      </c>
    </row>
    <row r="2050" spans="1:1">
      <c r="A2050" s="5" t="s">
        <v>37</v>
      </c>
    </row>
    <row r="2051" spans="1:1">
      <c r="A2051" s="5" t="s">
        <v>38</v>
      </c>
    </row>
    <row r="2052" spans="1:1">
      <c r="A2052" s="5" t="s">
        <v>39</v>
      </c>
    </row>
    <row r="2053" spans="1:1">
      <c r="A2053" s="6"/>
    </row>
    <row r="2054" spans="1:1">
      <c r="A2054" s="5" t="s">
        <v>211</v>
      </c>
    </row>
    <row r="2055" spans="1:1">
      <c r="A2055" s="5" t="s">
        <v>212</v>
      </c>
    </row>
    <row r="2056" spans="1:1">
      <c r="A2056" s="6"/>
    </row>
    <row r="2057" spans="1:1">
      <c r="A2057" s="6"/>
    </row>
    <row r="2058" spans="1:1">
      <c r="A2058" s="6"/>
    </row>
    <row r="2059" spans="1:1">
      <c r="A2059" s="6"/>
    </row>
    <row r="2060" spans="1:1">
      <c r="A2060" s="5" t="s">
        <v>6</v>
      </c>
    </row>
    <row r="2061" spans="1:1">
      <c r="A2061" s="5" t="s">
        <v>40</v>
      </c>
    </row>
    <row r="2062" spans="1:1">
      <c r="A2062" s="6"/>
    </row>
    <row r="2063" spans="1:1">
      <c r="A2063" s="5" t="s">
        <v>41</v>
      </c>
    </row>
    <row r="2064" spans="1:1">
      <c r="A2064" s="6"/>
    </row>
    <row r="2065" spans="1:1">
      <c r="A2065" s="5" t="s">
        <v>42</v>
      </c>
    </row>
    <row r="2066" spans="1:1">
      <c r="A2066" s="6"/>
    </row>
    <row r="2067" spans="1:1">
      <c r="A2067" s="5" t="s">
        <v>43</v>
      </c>
    </row>
    <row r="2068" spans="1:1">
      <c r="A2068" s="5" t="s">
        <v>44</v>
      </c>
    </row>
    <row r="2069" spans="1:1">
      <c r="A2069" s="5" t="s">
        <v>45</v>
      </c>
    </row>
    <row r="2070" spans="1:1">
      <c r="A2070" s="5" t="s">
        <v>46</v>
      </c>
    </row>
    <row r="2071" spans="1:1">
      <c r="A2071" s="5" t="s">
        <v>47</v>
      </c>
    </row>
    <row r="2072" spans="1:1">
      <c r="A2072" s="5" t="s">
        <v>37</v>
      </c>
    </row>
    <row r="2073" spans="1:1">
      <c r="A2073" s="6"/>
    </row>
    <row r="2074" spans="1:1">
      <c r="A2074" s="5" t="s">
        <v>211</v>
      </c>
    </row>
    <row r="2075" spans="1:1">
      <c r="A2075" s="5" t="s">
        <v>212</v>
      </c>
    </row>
    <row r="2076" spans="1:1">
      <c r="A2076" s="6"/>
    </row>
    <row r="2077" spans="1:1">
      <c r="A2077" s="6"/>
    </row>
    <row r="2078" spans="1:1">
      <c r="A2078" s="5" t="s">
        <v>3</v>
      </c>
    </row>
    <row r="2079" spans="1:1">
      <c r="A2079" s="5" t="s">
        <v>4</v>
      </c>
    </row>
    <row r="2080" spans="1:1">
      <c r="A2080" s="5" t="s">
        <v>5</v>
      </c>
    </row>
    <row r="2081" spans="1:1">
      <c r="A2081" s="5" t="s">
        <v>6</v>
      </c>
    </row>
    <row r="2082" spans="1:1">
      <c r="A2082" s="5" t="s">
        <v>7</v>
      </c>
    </row>
    <row r="2083" spans="1:1">
      <c r="A2083" s="5" t="s">
        <v>6</v>
      </c>
    </row>
    <row r="2084" spans="1:1">
      <c r="A2084" s="5" t="s">
        <v>214</v>
      </c>
    </row>
    <row r="2085" spans="1:1">
      <c r="A2085" s="5" t="s">
        <v>215</v>
      </c>
    </row>
    <row r="2086" spans="1:1">
      <c r="A2086" s="6"/>
    </row>
    <row r="2087" spans="1:1">
      <c r="A2087" s="5" t="s">
        <v>82</v>
      </c>
    </row>
    <row r="2088" spans="1:1">
      <c r="A2088" s="5" t="s">
        <v>216</v>
      </c>
    </row>
    <row r="2089" spans="1:1">
      <c r="A2089" s="5" t="s">
        <v>217</v>
      </c>
    </row>
    <row r="2090" spans="1:1">
      <c r="A2090" s="5" t="s">
        <v>103</v>
      </c>
    </row>
    <row r="2091" spans="1:1">
      <c r="A2091" s="5" t="s">
        <v>6</v>
      </c>
    </row>
    <row r="2092" spans="1:1">
      <c r="A2092" s="5" t="s">
        <v>83</v>
      </c>
    </row>
    <row r="2093" spans="1:1">
      <c r="A2093" s="5" t="s">
        <v>17</v>
      </c>
    </row>
    <row r="2094" spans="1:1">
      <c r="A2094" s="5" t="s">
        <v>84</v>
      </c>
    </row>
    <row r="2095" spans="1:1">
      <c r="A2095" s="5" t="s">
        <v>218</v>
      </c>
    </row>
    <row r="2096" spans="1:1">
      <c r="A2096" s="6"/>
    </row>
    <row r="2097" spans="1:1">
      <c r="A2097" s="5" t="s">
        <v>18</v>
      </c>
    </row>
    <row r="2098" spans="1:1">
      <c r="A2098" s="7">
        <v>19800</v>
      </c>
    </row>
    <row r="2099" spans="1:1">
      <c r="A2099" s="6"/>
    </row>
    <row r="2100" spans="1:1">
      <c r="A2100" s="5" t="s">
        <v>19</v>
      </c>
    </row>
    <row r="2101" spans="1:1">
      <c r="A2101" s="5" t="s">
        <v>20</v>
      </c>
    </row>
    <row r="2102" spans="1:1">
      <c r="A2102" s="5" t="s">
        <v>21</v>
      </c>
    </row>
    <row r="2103" spans="1:1">
      <c r="A2103" s="5" t="s">
        <v>22</v>
      </c>
    </row>
    <row r="2104" spans="1:1">
      <c r="A2104" s="5" t="s">
        <v>23</v>
      </c>
    </row>
    <row r="2105" spans="1:1">
      <c r="A2105" s="5" t="s">
        <v>24</v>
      </c>
    </row>
    <row r="2106" spans="1:1">
      <c r="A2106" s="5" t="s">
        <v>25</v>
      </c>
    </row>
    <row r="2107" spans="1:1">
      <c r="A2107" s="5" t="s">
        <v>26</v>
      </c>
    </row>
    <row r="2108" spans="1:1">
      <c r="A2108" s="5" t="s">
        <v>27</v>
      </c>
    </row>
    <row r="2109" spans="1:1">
      <c r="A2109" s="5" t="s">
        <v>6</v>
      </c>
    </row>
    <row r="2110" spans="1:1">
      <c r="A2110" s="5" t="s">
        <v>28</v>
      </c>
    </row>
    <row r="2111" spans="1:1">
      <c r="A2111" s="5" t="s">
        <v>29</v>
      </c>
    </row>
    <row r="2112" spans="1:1">
      <c r="A2112" s="6"/>
    </row>
    <row r="2113" spans="1:1">
      <c r="A2113" s="6"/>
    </row>
    <row r="2114" spans="1:1">
      <c r="A2114" s="5" t="s">
        <v>6</v>
      </c>
    </row>
    <row r="2115" spans="1:1">
      <c r="A2115" s="5" t="s">
        <v>30</v>
      </c>
    </row>
    <row r="2116" spans="1:1">
      <c r="A2116" s="6"/>
    </row>
    <row r="2117" spans="1:1">
      <c r="A2117" s="5" t="s">
        <v>31</v>
      </c>
    </row>
    <row r="2118" spans="1:1">
      <c r="A2118" s="5" t="s">
        <v>32</v>
      </c>
    </row>
    <row r="2119" spans="1:1">
      <c r="A2119" s="5" t="s">
        <v>33</v>
      </c>
    </row>
    <row r="2120" spans="1:1">
      <c r="A2120" s="5" t="s">
        <v>34</v>
      </c>
    </row>
    <row r="2121" spans="1:1">
      <c r="A2121" s="5" t="s">
        <v>35</v>
      </c>
    </row>
    <row r="2122" spans="1:1">
      <c r="A2122" s="5" t="s">
        <v>36</v>
      </c>
    </row>
    <row r="2123" spans="1:1">
      <c r="A2123" s="5" t="s">
        <v>37</v>
      </c>
    </row>
    <row r="2124" spans="1:1">
      <c r="A2124" s="5" t="s">
        <v>38</v>
      </c>
    </row>
    <row r="2125" spans="1:1">
      <c r="A2125" s="5" t="s">
        <v>39</v>
      </c>
    </row>
    <row r="2126" spans="1:1">
      <c r="A2126" s="6"/>
    </row>
    <row r="2127" spans="1:1">
      <c r="A2127" s="5" t="s">
        <v>214</v>
      </c>
    </row>
    <row r="2128" spans="1:1">
      <c r="A2128" s="5" t="s">
        <v>215</v>
      </c>
    </row>
    <row r="2129" spans="1:1">
      <c r="A2129" s="6"/>
    </row>
    <row r="2130" spans="1:1">
      <c r="A2130" s="6"/>
    </row>
    <row r="2131" spans="1:1">
      <c r="A2131" s="5" t="s">
        <v>3</v>
      </c>
    </row>
    <row r="2132" spans="1:1">
      <c r="A2132" s="5" t="s">
        <v>4</v>
      </c>
    </row>
    <row r="2133" spans="1:1">
      <c r="A2133" s="5" t="s">
        <v>5</v>
      </c>
    </row>
    <row r="2134" spans="1:1">
      <c r="A2134" s="5" t="s">
        <v>6</v>
      </c>
    </row>
    <row r="2135" spans="1:1">
      <c r="A2135" s="5" t="s">
        <v>7</v>
      </c>
    </row>
    <row r="2136" spans="1:1">
      <c r="A2136" s="5" t="s">
        <v>6</v>
      </c>
    </row>
    <row r="2137" spans="1:1">
      <c r="A2137" s="5" t="s">
        <v>219</v>
      </c>
    </row>
    <row r="2138" spans="1:1">
      <c r="A2138" s="5" t="s">
        <v>220</v>
      </c>
    </row>
    <row r="2139" spans="1:1">
      <c r="A2139" s="6"/>
    </row>
    <row r="2140" spans="1:1">
      <c r="A2140" s="6"/>
    </row>
    <row r="2141" spans="1:1">
      <c r="A2141" s="5" t="s">
        <v>221</v>
      </c>
    </row>
    <row r="2142" spans="1:1">
      <c r="A2142" s="6"/>
    </row>
    <row r="2143" spans="1:1">
      <c r="A2143" s="5" t="s">
        <v>222</v>
      </c>
    </row>
    <row r="2144" spans="1:1">
      <c r="A2144" s="6"/>
    </row>
    <row r="2145" spans="1:1">
      <c r="A2145" s="5" t="s">
        <v>3</v>
      </c>
    </row>
    <row r="2146" spans="1:1">
      <c r="A2146" s="5" t="s">
        <v>4</v>
      </c>
    </row>
    <row r="2147" spans="1:1">
      <c r="A2147" s="5" t="s">
        <v>5</v>
      </c>
    </row>
    <row r="2148" spans="1:1">
      <c r="A2148" s="5" t="s">
        <v>6</v>
      </c>
    </row>
    <row r="2149" spans="1:1">
      <c r="A2149" s="5" t="s">
        <v>7</v>
      </c>
    </row>
    <row r="2150" spans="1:1">
      <c r="A2150" s="5" t="s">
        <v>6</v>
      </c>
    </row>
    <row r="2151" spans="1:1">
      <c r="A2151" s="5" t="s">
        <v>223</v>
      </c>
    </row>
    <row r="2152" spans="1:1">
      <c r="A2152" s="5" t="s">
        <v>224</v>
      </c>
    </row>
    <row r="2153" spans="1:1">
      <c r="A2153" s="6"/>
    </row>
    <row r="2154" spans="1:1">
      <c r="A2154" s="6"/>
    </row>
    <row r="2155" spans="1:1">
      <c r="A2155" s="5" t="s">
        <v>225</v>
      </c>
    </row>
    <row r="2156" spans="1:1">
      <c r="A2156" s="5" t="s">
        <v>226</v>
      </c>
    </row>
    <row r="2157" spans="1:1">
      <c r="A2157" s="5" t="s">
        <v>6</v>
      </c>
    </row>
    <row r="2158" spans="1:1">
      <c r="A2158" s="5" t="s">
        <v>227</v>
      </c>
    </row>
    <row r="2159" spans="1:1">
      <c r="A2159" s="5" t="s">
        <v>228</v>
      </c>
    </row>
    <row r="2160" spans="1:1">
      <c r="A2160" s="6"/>
    </row>
    <row r="2161" spans="1:1">
      <c r="A2161" s="5" t="s">
        <v>19</v>
      </c>
    </row>
    <row r="2162" spans="1:1">
      <c r="A2162" s="5" t="s">
        <v>20</v>
      </c>
    </row>
    <row r="2163" spans="1:1">
      <c r="A2163" s="5" t="s">
        <v>21</v>
      </c>
    </row>
    <row r="2164" spans="1:1">
      <c r="A2164" s="5" t="s">
        <v>22</v>
      </c>
    </row>
    <row r="2165" spans="1:1">
      <c r="A2165" s="5" t="s">
        <v>23</v>
      </c>
    </row>
    <row r="2166" spans="1:1">
      <c r="A2166" s="5" t="s">
        <v>24</v>
      </c>
    </row>
    <row r="2167" spans="1:1">
      <c r="A2167" s="5" t="s">
        <v>25</v>
      </c>
    </row>
    <row r="2168" spans="1:1">
      <c r="A2168" s="5" t="s">
        <v>26</v>
      </c>
    </row>
    <row r="2169" spans="1:1">
      <c r="A2169" s="5" t="s">
        <v>27</v>
      </c>
    </row>
    <row r="2170" spans="1:1">
      <c r="A2170" s="5" t="s">
        <v>6</v>
      </c>
    </row>
    <row r="2171" spans="1:1">
      <c r="A2171" s="5" t="s">
        <v>28</v>
      </c>
    </row>
    <row r="2172" spans="1:1">
      <c r="A2172" s="5" t="s">
        <v>29</v>
      </c>
    </row>
    <row r="2173" spans="1:1">
      <c r="A2173" s="5" t="s">
        <v>3</v>
      </c>
    </row>
    <row r="2174" spans="1:1">
      <c r="A2174" s="5" t="s">
        <v>4</v>
      </c>
    </row>
    <row r="2175" spans="1:1">
      <c r="A2175" s="5" t="s">
        <v>5</v>
      </c>
    </row>
    <row r="2176" spans="1:1">
      <c r="A2176" s="5" t="s">
        <v>6</v>
      </c>
    </row>
    <row r="2177" spans="1:1">
      <c r="A2177" s="5" t="s">
        <v>7</v>
      </c>
    </row>
    <row r="2178" spans="1:1">
      <c r="A2178" s="5" t="s">
        <v>6</v>
      </c>
    </row>
    <row r="2179" spans="1:1">
      <c r="A2179" s="5" t="s">
        <v>229</v>
      </c>
    </row>
    <row r="2180" spans="1:1">
      <c r="A2180" s="5" t="s">
        <v>230</v>
      </c>
    </row>
    <row r="2181" spans="1:1">
      <c r="A2181" s="6"/>
    </row>
    <row r="2182" spans="1:1">
      <c r="A2182" s="5" t="s">
        <v>231</v>
      </c>
    </row>
    <row r="2183" spans="1:1">
      <c r="A2183" s="5" t="s">
        <v>232</v>
      </c>
    </row>
    <row r="2184" spans="1:1">
      <c r="A2184" s="5" t="s">
        <v>233</v>
      </c>
    </row>
    <row r="2185" spans="1:1">
      <c r="A2185" s="5" t="s">
        <v>6</v>
      </c>
    </row>
    <row r="2186" spans="1:1">
      <c r="A2186" s="5" t="s">
        <v>234</v>
      </c>
    </row>
    <row r="2187" spans="1:1">
      <c r="A2187" s="5" t="s">
        <v>17</v>
      </c>
    </row>
    <row r="2188" spans="1:1">
      <c r="A2188" s="6"/>
    </row>
    <row r="2189" spans="1:1">
      <c r="A2189" s="5" t="s">
        <v>18</v>
      </c>
    </row>
    <row r="2190" spans="1:1">
      <c r="A2190" s="7">
        <v>25000</v>
      </c>
    </row>
    <row r="2191" spans="1:1">
      <c r="A2191" s="6"/>
    </row>
    <row r="2192" spans="1:1">
      <c r="A2192" s="5" t="s">
        <v>19</v>
      </c>
    </row>
    <row r="2193" spans="1:1">
      <c r="A2193" s="5" t="s">
        <v>20</v>
      </c>
    </row>
    <row r="2194" spans="1:1">
      <c r="A2194" s="5" t="s">
        <v>21</v>
      </c>
    </row>
    <row r="2195" spans="1:1">
      <c r="A2195" s="5" t="s">
        <v>22</v>
      </c>
    </row>
    <row r="2196" spans="1:1">
      <c r="A2196" s="5" t="s">
        <v>23</v>
      </c>
    </row>
    <row r="2197" spans="1:1">
      <c r="A2197" s="5" t="s">
        <v>24</v>
      </c>
    </row>
    <row r="2198" spans="1:1">
      <c r="A2198" s="5" t="s">
        <v>25</v>
      </c>
    </row>
    <row r="2199" spans="1:1">
      <c r="A2199" s="5" t="s">
        <v>26</v>
      </c>
    </row>
    <row r="2200" spans="1:1">
      <c r="A2200" s="5" t="s">
        <v>27</v>
      </c>
    </row>
    <row r="2201" spans="1:1">
      <c r="A2201" s="5" t="s">
        <v>6</v>
      </c>
    </row>
    <row r="2202" spans="1:1">
      <c r="A2202" s="5" t="s">
        <v>28</v>
      </c>
    </row>
    <row r="2203" spans="1:1">
      <c r="A2203" s="5" t="s">
        <v>29</v>
      </c>
    </row>
    <row r="2204" spans="1:1">
      <c r="A2204" s="6"/>
    </row>
    <row r="2205" spans="1:1">
      <c r="A2205" s="6"/>
    </row>
    <row r="2206" spans="1:1">
      <c r="A2206" s="5" t="s">
        <v>6</v>
      </c>
    </row>
    <row r="2207" spans="1:1">
      <c r="A2207" s="5" t="s">
        <v>30</v>
      </c>
    </row>
    <row r="2208" spans="1:1">
      <c r="A2208" s="6"/>
    </row>
    <row r="2209" spans="1:1">
      <c r="A2209" s="5" t="s">
        <v>31</v>
      </c>
    </row>
    <row r="2210" spans="1:1">
      <c r="A2210" s="5" t="s">
        <v>32</v>
      </c>
    </row>
    <row r="2211" spans="1:1">
      <c r="A2211" s="5" t="s">
        <v>33</v>
      </c>
    </row>
    <row r="2212" spans="1:1">
      <c r="A2212" s="5" t="s">
        <v>34</v>
      </c>
    </row>
    <row r="2213" spans="1:1">
      <c r="A2213" s="5" t="s">
        <v>35</v>
      </c>
    </row>
    <row r="2214" spans="1:1">
      <c r="A2214" s="5" t="s">
        <v>36</v>
      </c>
    </row>
    <row r="2215" spans="1:1">
      <c r="A2215" s="5" t="s">
        <v>37</v>
      </c>
    </row>
    <row r="2216" spans="1:1">
      <c r="A2216" s="5" t="s">
        <v>38</v>
      </c>
    </row>
    <row r="2217" spans="1:1">
      <c r="A2217" s="5" t="s">
        <v>39</v>
      </c>
    </row>
    <row r="2218" spans="1:1">
      <c r="A2218" s="6"/>
    </row>
    <row r="2219" spans="1:1">
      <c r="A2219" s="5" t="s">
        <v>229</v>
      </c>
    </row>
    <row r="2220" spans="1:1">
      <c r="A2220" s="5" t="s">
        <v>230</v>
      </c>
    </row>
    <row r="2221" spans="1:1">
      <c r="A2221" s="6"/>
    </row>
    <row r="2222" spans="1:1">
      <c r="A2222" s="6"/>
    </row>
    <row r="2223" spans="1:1">
      <c r="A2223" s="6"/>
    </row>
    <row r="2224" spans="1:1">
      <c r="A2224" s="6"/>
    </row>
    <row r="2225" spans="1:1">
      <c r="A2225" s="5" t="s">
        <v>6</v>
      </c>
    </row>
    <row r="2226" spans="1:1">
      <c r="A2226" s="5" t="s">
        <v>40</v>
      </c>
    </row>
    <row r="2227" spans="1:1">
      <c r="A2227" s="6"/>
    </row>
    <row r="2228" spans="1:1">
      <c r="A2228" s="5" t="s">
        <v>41</v>
      </c>
    </row>
    <row r="2229" spans="1:1">
      <c r="A2229" s="6"/>
    </row>
    <row r="2230" spans="1:1">
      <c r="A2230" s="5" t="s">
        <v>42</v>
      </c>
    </row>
    <row r="2231" spans="1:1">
      <c r="A2231" s="6"/>
    </row>
    <row r="2232" spans="1:1">
      <c r="A2232" s="5" t="s">
        <v>43</v>
      </c>
    </row>
    <row r="2233" spans="1:1">
      <c r="A2233" s="5" t="s">
        <v>44</v>
      </c>
    </row>
    <row r="2234" spans="1:1">
      <c r="A2234" s="5" t="s">
        <v>45</v>
      </c>
    </row>
    <row r="2235" spans="1:1">
      <c r="A2235" s="5" t="s">
        <v>46</v>
      </c>
    </row>
    <row r="2236" spans="1:1">
      <c r="A2236" s="5" t="s">
        <v>47</v>
      </c>
    </row>
    <row r="2237" spans="1:1">
      <c r="A2237" s="5" t="s">
        <v>37</v>
      </c>
    </row>
    <row r="2238" spans="1:1">
      <c r="A2238" s="6"/>
    </row>
    <row r="2239" spans="1:1">
      <c r="A2239" s="5" t="s">
        <v>229</v>
      </c>
    </row>
    <row r="2240" spans="1:1">
      <c r="A2240" s="5" t="s">
        <v>230</v>
      </c>
    </row>
    <row r="2241" spans="1:1">
      <c r="A2241" s="6"/>
    </row>
    <row r="2242" spans="1:1">
      <c r="A2242" s="6"/>
    </row>
    <row r="2243" spans="1:1">
      <c r="A2243" s="5" t="s">
        <v>3</v>
      </c>
    </row>
    <row r="2244" spans="1:1">
      <c r="A2244" s="5" t="s">
        <v>4</v>
      </c>
    </row>
    <row r="2245" spans="1:1">
      <c r="A2245" s="5" t="s">
        <v>5</v>
      </c>
    </row>
    <row r="2246" spans="1:1">
      <c r="A2246" s="5" t="s">
        <v>6</v>
      </c>
    </row>
    <row r="2247" spans="1:1">
      <c r="A2247" s="5" t="s">
        <v>7</v>
      </c>
    </row>
    <row r="2248" spans="1:1">
      <c r="A2248" s="5" t="s">
        <v>6</v>
      </c>
    </row>
    <row r="2249" spans="1:1">
      <c r="A2249" s="5" t="s">
        <v>235</v>
      </c>
    </row>
    <row r="2250" spans="1:1">
      <c r="A2250" s="5" t="s">
        <v>236</v>
      </c>
    </row>
    <row r="2251" spans="1:1">
      <c r="A2251" s="6"/>
    </row>
    <row r="2252" spans="1:1">
      <c r="A2252" s="5" t="s">
        <v>237</v>
      </c>
    </row>
    <row r="2253" spans="1:1">
      <c r="A2253" s="5" t="s">
        <v>232</v>
      </c>
    </row>
    <row r="2254" spans="1:1">
      <c r="A2254" s="5" t="s">
        <v>233</v>
      </c>
    </row>
    <row r="2255" spans="1:1">
      <c r="A2255" s="5" t="s">
        <v>119</v>
      </c>
    </row>
    <row r="2256" spans="1:1">
      <c r="A2256" s="5" t="s">
        <v>6</v>
      </c>
    </row>
    <row r="2257" spans="1:1">
      <c r="A2257" s="5" t="s">
        <v>100</v>
      </c>
    </row>
    <row r="2258" spans="1:1">
      <c r="A2258" s="5" t="s">
        <v>17</v>
      </c>
    </row>
    <row r="2259" spans="1:1">
      <c r="A2259" s="5" t="s">
        <v>238</v>
      </c>
    </row>
    <row r="2260" spans="1:1">
      <c r="A2260" s="6"/>
    </row>
    <row r="2261" spans="1:1">
      <c r="A2261" s="5" t="s">
        <v>18</v>
      </c>
    </row>
    <row r="2262" spans="1:1">
      <c r="A2262" s="7">
        <v>25000</v>
      </c>
    </row>
    <row r="2263" spans="1:1">
      <c r="A2263" s="6"/>
    </row>
    <row r="2264" spans="1:1">
      <c r="A2264" s="5" t="s">
        <v>19</v>
      </c>
    </row>
    <row r="2265" spans="1:1">
      <c r="A2265" s="5" t="s">
        <v>20</v>
      </c>
    </row>
    <row r="2266" spans="1:1">
      <c r="A2266" s="5" t="s">
        <v>21</v>
      </c>
    </row>
    <row r="2267" spans="1:1">
      <c r="A2267" s="5" t="s">
        <v>22</v>
      </c>
    </row>
    <row r="2268" spans="1:1">
      <c r="A2268" s="5" t="s">
        <v>23</v>
      </c>
    </row>
    <row r="2269" spans="1:1">
      <c r="A2269" s="5" t="s">
        <v>24</v>
      </c>
    </row>
    <row r="2270" spans="1:1">
      <c r="A2270" s="5" t="s">
        <v>25</v>
      </c>
    </row>
    <row r="2271" spans="1:1">
      <c r="A2271" s="5" t="s">
        <v>26</v>
      </c>
    </row>
    <row r="2272" spans="1:1">
      <c r="A2272" s="5" t="s">
        <v>27</v>
      </c>
    </row>
    <row r="2273" spans="1:1">
      <c r="A2273" s="5" t="s">
        <v>6</v>
      </c>
    </row>
    <row r="2274" spans="1:1">
      <c r="A2274" s="5" t="s">
        <v>28</v>
      </c>
    </row>
    <row r="2275" spans="1:1">
      <c r="A2275" s="5" t="s">
        <v>29</v>
      </c>
    </row>
    <row r="2276" spans="1:1">
      <c r="A2276" s="6"/>
    </row>
    <row r="2277" spans="1:1">
      <c r="A2277" s="6"/>
    </row>
    <row r="2278" spans="1:1">
      <c r="A2278" s="5" t="s">
        <v>6</v>
      </c>
    </row>
    <row r="2279" spans="1:1">
      <c r="A2279" s="5" t="s">
        <v>30</v>
      </c>
    </row>
    <row r="2280" spans="1:1">
      <c r="A2280" s="6"/>
    </row>
    <row r="2281" spans="1:1">
      <c r="A2281" s="5" t="s">
        <v>31</v>
      </c>
    </row>
    <row r="2282" spans="1:1">
      <c r="A2282" s="5" t="s">
        <v>32</v>
      </c>
    </row>
    <row r="2283" spans="1:1">
      <c r="A2283" s="5" t="s">
        <v>33</v>
      </c>
    </row>
    <row r="2284" spans="1:1">
      <c r="A2284" s="5" t="s">
        <v>34</v>
      </c>
    </row>
    <row r="2285" spans="1:1">
      <c r="A2285" s="5" t="s">
        <v>35</v>
      </c>
    </row>
    <row r="2286" spans="1:1">
      <c r="A2286" s="5" t="s">
        <v>36</v>
      </c>
    </row>
    <row r="2287" spans="1:1">
      <c r="A2287" s="5" t="s">
        <v>37</v>
      </c>
    </row>
    <row r="2288" spans="1:1">
      <c r="A2288" s="5" t="s">
        <v>38</v>
      </c>
    </row>
    <row r="2289" spans="1:1">
      <c r="A2289" s="5" t="s">
        <v>39</v>
      </c>
    </row>
    <row r="2290" spans="1:1">
      <c r="A2290" s="6"/>
    </row>
    <row r="2291" spans="1:1">
      <c r="A2291" s="5" t="s">
        <v>235</v>
      </c>
    </row>
    <row r="2292" spans="1:1">
      <c r="A2292" s="5" t="s">
        <v>236</v>
      </c>
    </row>
    <row r="2293" spans="1:1">
      <c r="A2293" s="6"/>
    </row>
    <row r="2294" spans="1:1">
      <c r="A2294" s="6"/>
    </row>
    <row r="2295" spans="1:1">
      <c r="A2295" s="6"/>
    </row>
    <row r="2296" spans="1:1">
      <c r="A2296" s="6"/>
    </row>
    <row r="2297" spans="1:1">
      <c r="A2297" s="5" t="s">
        <v>6</v>
      </c>
    </row>
    <row r="2298" spans="1:1">
      <c r="A2298" s="5" t="s">
        <v>40</v>
      </c>
    </row>
    <row r="2299" spans="1:1">
      <c r="A2299" s="6"/>
    </row>
    <row r="2300" spans="1:1">
      <c r="A2300" s="5" t="s">
        <v>41</v>
      </c>
    </row>
    <row r="2301" spans="1:1">
      <c r="A2301" s="6"/>
    </row>
    <row r="2302" spans="1:1">
      <c r="A2302" s="5" t="s">
        <v>42</v>
      </c>
    </row>
    <row r="2303" spans="1:1">
      <c r="A2303" s="6"/>
    </row>
    <row r="2304" spans="1:1">
      <c r="A2304" s="5" t="s">
        <v>43</v>
      </c>
    </row>
    <row r="2305" spans="1:1">
      <c r="A2305" s="5" t="s">
        <v>44</v>
      </c>
    </row>
    <row r="2306" spans="1:1">
      <c r="A2306" s="5" t="s">
        <v>45</v>
      </c>
    </row>
    <row r="2307" spans="1:1">
      <c r="A2307" s="5" t="s">
        <v>46</v>
      </c>
    </row>
    <row r="2308" spans="1:1">
      <c r="A2308" s="5" t="s">
        <v>47</v>
      </c>
    </row>
    <row r="2309" spans="1:1">
      <c r="A2309" s="5" t="s">
        <v>37</v>
      </c>
    </row>
    <row r="2310" spans="1:1">
      <c r="A2310" s="6"/>
    </row>
    <row r="2311" spans="1:1">
      <c r="A2311" s="5" t="s">
        <v>235</v>
      </c>
    </row>
    <row r="2312" spans="1:1">
      <c r="A2312" s="5" t="s">
        <v>236</v>
      </c>
    </row>
    <row r="2313" spans="1:1">
      <c r="A2313" s="6"/>
    </row>
    <row r="2314" spans="1:1">
      <c r="A2314" s="6"/>
    </row>
    <row r="2315" spans="1:1">
      <c r="A2315" s="5" t="s">
        <v>3</v>
      </c>
    </row>
    <row r="2316" spans="1:1">
      <c r="A2316" s="5" t="s">
        <v>4</v>
      </c>
    </row>
    <row r="2317" spans="1:1">
      <c r="A2317" s="5" t="s">
        <v>5</v>
      </c>
    </row>
    <row r="2318" spans="1:1">
      <c r="A2318" s="5" t="s">
        <v>6</v>
      </c>
    </row>
    <row r="2319" spans="1:1">
      <c r="A2319" s="5" t="s">
        <v>7</v>
      </c>
    </row>
    <row r="2320" spans="1:1">
      <c r="A2320" s="5" t="s">
        <v>6</v>
      </c>
    </row>
    <row r="2321" spans="1:1">
      <c r="A2321" s="5" t="s">
        <v>239</v>
      </c>
    </row>
    <row r="2322" spans="1:1">
      <c r="A2322" s="5" t="s">
        <v>240</v>
      </c>
    </row>
    <row r="2323" spans="1:1">
      <c r="A2323" s="6"/>
    </row>
    <row r="2324" spans="1:1">
      <c r="A2324" s="5" t="s">
        <v>109</v>
      </c>
    </row>
    <row r="2325" spans="1:1">
      <c r="A2325" s="5" t="s">
        <v>103</v>
      </c>
    </row>
    <row r="2326" spans="1:1">
      <c r="A2326" s="5" t="s">
        <v>6</v>
      </c>
    </row>
    <row r="2327" spans="1:1">
      <c r="A2327" s="5" t="s">
        <v>110</v>
      </c>
    </row>
    <row r="2328" spans="1:1">
      <c r="A2328" s="5" t="s">
        <v>17</v>
      </c>
    </row>
    <row r="2329" spans="1:1">
      <c r="A2329" s="5" t="s">
        <v>111</v>
      </c>
    </row>
    <row r="2330" spans="1:1">
      <c r="A2330" s="6"/>
    </row>
    <row r="2331" spans="1:1">
      <c r="A2331" s="5" t="s">
        <v>19</v>
      </c>
    </row>
    <row r="2332" spans="1:1">
      <c r="A2332" s="5" t="s">
        <v>20</v>
      </c>
    </row>
    <row r="2333" spans="1:1">
      <c r="A2333" s="5" t="s">
        <v>21</v>
      </c>
    </row>
    <row r="2334" spans="1:1">
      <c r="A2334" s="5" t="s">
        <v>22</v>
      </c>
    </row>
    <row r="2335" spans="1:1">
      <c r="A2335" s="5" t="s">
        <v>23</v>
      </c>
    </row>
    <row r="2336" spans="1:1">
      <c r="A2336" s="5" t="s">
        <v>24</v>
      </c>
    </row>
    <row r="2337" spans="1:1">
      <c r="A2337" s="5" t="s">
        <v>25</v>
      </c>
    </row>
    <row r="2338" spans="1:1">
      <c r="A2338" s="5" t="s">
        <v>26</v>
      </c>
    </row>
    <row r="2339" spans="1:1">
      <c r="A2339" s="5" t="s">
        <v>27</v>
      </c>
    </row>
    <row r="2340" spans="1:1">
      <c r="A2340" s="5" t="s">
        <v>6</v>
      </c>
    </row>
    <row r="2341" spans="1:1">
      <c r="A2341" s="5" t="s">
        <v>28</v>
      </c>
    </row>
    <row r="2342" spans="1:1">
      <c r="A2342" s="5" t="s">
        <v>29</v>
      </c>
    </row>
    <row r="2343" spans="1:1">
      <c r="A2343" s="6"/>
    </row>
    <row r="2344" spans="1:1">
      <c r="A2344" s="6"/>
    </row>
    <row r="2345" spans="1:1">
      <c r="A2345" s="5" t="s">
        <v>6</v>
      </c>
    </row>
    <row r="2346" spans="1:1">
      <c r="A2346" s="5" t="s">
        <v>30</v>
      </c>
    </row>
    <row r="2347" spans="1:1">
      <c r="A2347" s="6"/>
    </row>
    <row r="2348" spans="1:1">
      <c r="A2348" s="5" t="s">
        <v>31</v>
      </c>
    </row>
    <row r="2349" spans="1:1">
      <c r="A2349" s="5" t="s">
        <v>32</v>
      </c>
    </row>
    <row r="2350" spans="1:1">
      <c r="A2350" s="5" t="s">
        <v>33</v>
      </c>
    </row>
    <row r="2351" spans="1:1">
      <c r="A2351" s="5" t="s">
        <v>34</v>
      </c>
    </row>
    <row r="2352" spans="1:1">
      <c r="A2352" s="5" t="s">
        <v>35</v>
      </c>
    </row>
    <row r="2353" spans="1:1">
      <c r="A2353" s="5" t="s">
        <v>36</v>
      </c>
    </row>
    <row r="2354" spans="1:1">
      <c r="A2354" s="5" t="s">
        <v>37</v>
      </c>
    </row>
    <row r="2355" spans="1:1">
      <c r="A2355" s="5" t="s">
        <v>38</v>
      </c>
    </row>
    <row r="2356" spans="1:1">
      <c r="A2356" s="5" t="s">
        <v>39</v>
      </c>
    </row>
    <row r="2357" spans="1:1">
      <c r="A2357" s="6"/>
    </row>
    <row r="2358" spans="1:1">
      <c r="A2358" s="5" t="s">
        <v>239</v>
      </c>
    </row>
    <row r="2359" spans="1:1">
      <c r="A2359" s="5" t="s">
        <v>240</v>
      </c>
    </row>
    <row r="2360" spans="1:1">
      <c r="A2360" s="6"/>
    </row>
    <row r="2361" spans="1:1">
      <c r="A2361" s="6"/>
    </row>
    <row r="2362" spans="1:1">
      <c r="A2362" s="5" t="s">
        <v>3</v>
      </c>
    </row>
    <row r="2363" spans="1:1">
      <c r="A2363" s="5" t="s">
        <v>4</v>
      </c>
    </row>
    <row r="2364" spans="1:1">
      <c r="A2364" s="5" t="s">
        <v>5</v>
      </c>
    </row>
    <row r="2365" spans="1:1">
      <c r="A2365" s="5" t="s">
        <v>6</v>
      </c>
    </row>
    <row r="2366" spans="1:1">
      <c r="A2366" s="5" t="s">
        <v>7</v>
      </c>
    </row>
    <row r="2367" spans="1:1">
      <c r="A2367" s="5" t="s">
        <v>6</v>
      </c>
    </row>
    <row r="2368" spans="1:1">
      <c r="A2368" s="5" t="s">
        <v>241</v>
      </c>
    </row>
    <row r="2369" spans="1:1">
      <c r="A2369" s="5" t="s">
        <v>242</v>
      </c>
    </row>
    <row r="2370" spans="1:1">
      <c r="A2370" s="6"/>
    </row>
    <row r="2371" spans="1:1">
      <c r="A2371" s="5" t="s">
        <v>243</v>
      </c>
    </row>
    <row r="2372" spans="1:1">
      <c r="A2372" s="5" t="s">
        <v>244</v>
      </c>
    </row>
    <row r="2373" spans="1:1">
      <c r="A2373" s="5" t="s">
        <v>245</v>
      </c>
    </row>
    <row r="2374" spans="1:1">
      <c r="A2374" s="5" t="s">
        <v>246</v>
      </c>
    </row>
    <row r="2375" spans="1:1">
      <c r="A2375" s="5" t="s">
        <v>244</v>
      </c>
    </row>
    <row r="2376" spans="1:1">
      <c r="A2376" s="5" t="s">
        <v>245</v>
      </c>
    </row>
    <row r="2377" spans="1:1">
      <c r="A2377" s="5" t="s">
        <v>247</v>
      </c>
    </row>
    <row r="2378" spans="1:1">
      <c r="A2378" s="5" t="s">
        <v>244</v>
      </c>
    </row>
    <row r="2379" spans="1:1">
      <c r="A2379" s="5" t="s">
        <v>245</v>
      </c>
    </row>
    <row r="2380" spans="1:1">
      <c r="A2380" s="5" t="s">
        <v>103</v>
      </c>
    </row>
    <row r="2381" spans="1:1">
      <c r="A2381" s="5" t="s">
        <v>145</v>
      </c>
    </row>
    <row r="2382" spans="1:1">
      <c r="A2382" s="5" t="s">
        <v>6</v>
      </c>
    </row>
    <row r="2383" spans="1:1">
      <c r="A2383" s="5" t="s">
        <v>248</v>
      </c>
    </row>
    <row r="2384" spans="1:1">
      <c r="A2384" s="5" t="s">
        <v>17</v>
      </c>
    </row>
    <row r="2385" spans="1:1">
      <c r="A2385" s="5" t="s">
        <v>148</v>
      </c>
    </row>
    <row r="2386" spans="1:1">
      <c r="A2386" s="6"/>
    </row>
    <row r="2387" spans="1:1">
      <c r="A2387" s="5" t="s">
        <v>18</v>
      </c>
    </row>
    <row r="2388" spans="1:1">
      <c r="A2388" s="7">
        <v>49899</v>
      </c>
    </row>
    <row r="2389" spans="1:1">
      <c r="A2389" s="6"/>
    </row>
    <row r="2390" spans="1:1">
      <c r="A2390" s="5" t="s">
        <v>19</v>
      </c>
    </row>
    <row r="2391" spans="1:1">
      <c r="A2391" s="5" t="s">
        <v>20</v>
      </c>
    </row>
    <row r="2392" spans="1:1">
      <c r="A2392" s="5" t="s">
        <v>21</v>
      </c>
    </row>
    <row r="2393" spans="1:1">
      <c r="A2393" s="5" t="s">
        <v>22</v>
      </c>
    </row>
    <row r="2394" spans="1:1">
      <c r="A2394" s="5" t="s">
        <v>23</v>
      </c>
    </row>
    <row r="2395" spans="1:1">
      <c r="A2395" s="5" t="s">
        <v>24</v>
      </c>
    </row>
    <row r="2396" spans="1:1">
      <c r="A2396" s="5" t="s">
        <v>25</v>
      </c>
    </row>
    <row r="2397" spans="1:1">
      <c r="A2397" s="5" t="s">
        <v>26</v>
      </c>
    </row>
    <row r="2398" spans="1:1">
      <c r="A2398" s="5" t="s">
        <v>27</v>
      </c>
    </row>
    <row r="2399" spans="1:1">
      <c r="A2399" s="5" t="s">
        <v>6</v>
      </c>
    </row>
    <row r="2400" spans="1:1">
      <c r="A2400" s="5" t="s">
        <v>28</v>
      </c>
    </row>
    <row r="2401" spans="1:1">
      <c r="A2401" s="5" t="s">
        <v>29</v>
      </c>
    </row>
    <row r="2402" spans="1:1">
      <c r="A2402" s="6"/>
    </row>
    <row r="2403" spans="1:1">
      <c r="A2403" s="6"/>
    </row>
    <row r="2404" spans="1:1">
      <c r="A2404" s="5" t="s">
        <v>6</v>
      </c>
    </row>
    <row r="2405" spans="1:1">
      <c r="A2405" s="5" t="s">
        <v>30</v>
      </c>
    </row>
    <row r="2406" spans="1:1">
      <c r="A2406" s="6"/>
    </row>
    <row r="2407" spans="1:1">
      <c r="A2407" s="5" t="s">
        <v>31</v>
      </c>
    </row>
    <row r="2408" spans="1:1">
      <c r="A2408" s="5" t="s">
        <v>32</v>
      </c>
    </row>
    <row r="2409" spans="1:1">
      <c r="A2409" s="5" t="s">
        <v>33</v>
      </c>
    </row>
    <row r="2410" spans="1:1">
      <c r="A2410" s="5" t="s">
        <v>34</v>
      </c>
    </row>
    <row r="2411" spans="1:1">
      <c r="A2411" s="5" t="s">
        <v>35</v>
      </c>
    </row>
    <row r="2412" spans="1:1">
      <c r="A2412" s="5" t="s">
        <v>36</v>
      </c>
    </row>
    <row r="2413" spans="1:1">
      <c r="A2413" s="5" t="s">
        <v>37</v>
      </c>
    </row>
    <row r="2414" spans="1:1">
      <c r="A2414" s="5" t="s">
        <v>38</v>
      </c>
    </row>
    <row r="2415" spans="1:1">
      <c r="A2415" s="5" t="s">
        <v>39</v>
      </c>
    </row>
    <row r="2416" spans="1:1">
      <c r="A2416" s="6"/>
    </row>
    <row r="2417" spans="1:1">
      <c r="A2417" s="5" t="s">
        <v>241</v>
      </c>
    </row>
    <row r="2418" spans="1:1">
      <c r="A2418" s="5" t="s">
        <v>242</v>
      </c>
    </row>
    <row r="2419" spans="1:1">
      <c r="A2419" s="6"/>
    </row>
    <row r="2420" spans="1:1">
      <c r="A2420" s="6"/>
    </row>
    <row r="2421" spans="1:1">
      <c r="A2421" s="5" t="s">
        <v>3</v>
      </c>
    </row>
    <row r="2422" spans="1:1">
      <c r="A2422" s="5" t="s">
        <v>4</v>
      </c>
    </row>
    <row r="2423" spans="1:1">
      <c r="A2423" s="5" t="s">
        <v>5</v>
      </c>
    </row>
    <row r="2424" spans="1:1">
      <c r="A2424" s="5" t="s">
        <v>6</v>
      </c>
    </row>
    <row r="2425" spans="1:1">
      <c r="A2425" s="5" t="s">
        <v>7</v>
      </c>
    </row>
    <row r="2426" spans="1:1">
      <c r="A2426" s="5" t="s">
        <v>6</v>
      </c>
    </row>
    <row r="2427" spans="1:1">
      <c r="A2427" s="5" t="s">
        <v>249</v>
      </c>
    </row>
    <row r="2428" spans="1:1">
      <c r="A2428" s="5" t="s">
        <v>250</v>
      </c>
    </row>
    <row r="2429" spans="1:1">
      <c r="A2429" s="6"/>
    </row>
    <row r="2430" spans="1:1">
      <c r="A2430" s="5" t="s">
        <v>57</v>
      </c>
    </row>
    <row r="2431" spans="1:1">
      <c r="A2431" s="5" t="s">
        <v>103</v>
      </c>
    </row>
    <row r="2432" spans="1:1">
      <c r="A2432" s="5" t="s">
        <v>6</v>
      </c>
    </row>
    <row r="2433" spans="1:1">
      <c r="A2433" s="5" t="s">
        <v>251</v>
      </c>
    </row>
    <row r="2434" spans="1:1">
      <c r="A2434" s="5" t="s">
        <v>17</v>
      </c>
    </row>
    <row r="2435" spans="1:1">
      <c r="A2435" s="5" t="s">
        <v>252</v>
      </c>
    </row>
    <row r="2436" spans="1:1">
      <c r="A2436" s="6"/>
    </row>
    <row r="2437" spans="1:1">
      <c r="A2437" s="5" t="s">
        <v>19</v>
      </c>
    </row>
    <row r="2438" spans="1:1">
      <c r="A2438" s="5" t="s">
        <v>20</v>
      </c>
    </row>
    <row r="2439" spans="1:1">
      <c r="A2439" s="5" t="s">
        <v>21</v>
      </c>
    </row>
    <row r="2440" spans="1:1">
      <c r="A2440" s="5" t="s">
        <v>22</v>
      </c>
    </row>
    <row r="2441" spans="1:1">
      <c r="A2441" s="5" t="s">
        <v>23</v>
      </c>
    </row>
    <row r="2442" spans="1:1">
      <c r="A2442" s="5" t="s">
        <v>24</v>
      </c>
    </row>
    <row r="2443" spans="1:1">
      <c r="A2443" s="5" t="s">
        <v>25</v>
      </c>
    </row>
    <row r="2444" spans="1:1">
      <c r="A2444" s="5" t="s">
        <v>26</v>
      </c>
    </row>
    <row r="2445" spans="1:1">
      <c r="A2445" s="5" t="s">
        <v>27</v>
      </c>
    </row>
    <row r="2446" spans="1:1">
      <c r="A2446" s="5" t="s">
        <v>6</v>
      </c>
    </row>
    <row r="2447" spans="1:1">
      <c r="A2447" s="5" t="s">
        <v>28</v>
      </c>
    </row>
    <row r="2448" spans="1:1">
      <c r="A2448" s="5" t="s">
        <v>29</v>
      </c>
    </row>
    <row r="2449" spans="1:1">
      <c r="A2449" s="6"/>
    </row>
    <row r="2450" spans="1:1">
      <c r="A2450" s="6"/>
    </row>
    <row r="2451" spans="1:1">
      <c r="A2451" s="5" t="s">
        <v>6</v>
      </c>
    </row>
    <row r="2452" spans="1:1">
      <c r="A2452" s="5" t="s">
        <v>30</v>
      </c>
    </row>
    <row r="2453" spans="1:1">
      <c r="A2453" s="6"/>
    </row>
    <row r="2454" spans="1:1">
      <c r="A2454" s="5" t="s">
        <v>31</v>
      </c>
    </row>
    <row r="2455" spans="1:1">
      <c r="A2455" s="5" t="s">
        <v>32</v>
      </c>
    </row>
    <row r="2456" spans="1:1">
      <c r="A2456" s="5" t="s">
        <v>33</v>
      </c>
    </row>
    <row r="2457" spans="1:1">
      <c r="A2457" s="5" t="s">
        <v>34</v>
      </c>
    </row>
    <row r="2458" spans="1:1">
      <c r="A2458" s="5" t="s">
        <v>35</v>
      </c>
    </row>
    <row r="2459" spans="1:1">
      <c r="A2459" s="5" t="s">
        <v>36</v>
      </c>
    </row>
    <row r="2460" spans="1:1">
      <c r="A2460" s="5" t="s">
        <v>37</v>
      </c>
    </row>
    <row r="2461" spans="1:1">
      <c r="A2461" s="5" t="s">
        <v>38</v>
      </c>
    </row>
    <row r="2462" spans="1:1">
      <c r="A2462" s="5" t="s">
        <v>39</v>
      </c>
    </row>
    <row r="2463" spans="1:1">
      <c r="A2463" s="6"/>
    </row>
    <row r="2464" spans="1:1">
      <c r="A2464" s="5" t="s">
        <v>249</v>
      </c>
    </row>
    <row r="2465" spans="1:1">
      <c r="A2465" s="5" t="s">
        <v>250</v>
      </c>
    </row>
    <row r="2466" spans="1:1">
      <c r="A2466" s="6"/>
    </row>
    <row r="2467" spans="1:1">
      <c r="A2467" s="6"/>
    </row>
    <row r="2468" spans="1:1">
      <c r="A2468" s="5" t="s">
        <v>3</v>
      </c>
    </row>
    <row r="2469" spans="1:1">
      <c r="A2469" s="5" t="s">
        <v>4</v>
      </c>
    </row>
    <row r="2470" spans="1:1">
      <c r="A2470" s="5" t="s">
        <v>5</v>
      </c>
    </row>
    <row r="2471" spans="1:1">
      <c r="A2471" s="5" t="s">
        <v>6</v>
      </c>
    </row>
    <row r="2472" spans="1:1">
      <c r="A2472" s="5" t="s">
        <v>7</v>
      </c>
    </row>
    <row r="2473" spans="1:1">
      <c r="A2473" s="5" t="s">
        <v>6</v>
      </c>
    </row>
    <row r="2474" spans="1:1">
      <c r="A2474" s="5" t="s">
        <v>253</v>
      </c>
    </row>
    <row r="2475" spans="1:1">
      <c r="A2475" s="5" t="s">
        <v>254</v>
      </c>
    </row>
    <row r="2476" spans="1:1">
      <c r="A2476" s="6"/>
    </row>
    <row r="2477" spans="1:1">
      <c r="A2477" s="5" t="s">
        <v>87</v>
      </c>
    </row>
    <row r="2478" spans="1:1">
      <c r="A2478" s="5" t="s">
        <v>88</v>
      </c>
    </row>
    <row r="2479" spans="1:1">
      <c r="A2479" s="5" t="s">
        <v>89</v>
      </c>
    </row>
    <row r="2480" spans="1:1">
      <c r="A2480" s="5" t="s">
        <v>119</v>
      </c>
    </row>
    <row r="2481" spans="1:1">
      <c r="A2481" s="5" t="s">
        <v>6</v>
      </c>
    </row>
    <row r="2482" spans="1:1">
      <c r="A2482" s="5" t="s">
        <v>91</v>
      </c>
    </row>
    <row r="2483" spans="1:1">
      <c r="A2483" s="5" t="s">
        <v>63</v>
      </c>
    </row>
    <row r="2484" spans="1:1">
      <c r="A2484" s="5" t="s">
        <v>92</v>
      </c>
    </row>
    <row r="2485" spans="1:1">
      <c r="A2485" s="6"/>
    </row>
    <row r="2486" spans="1:1">
      <c r="A2486" s="5" t="s">
        <v>18</v>
      </c>
    </row>
    <row r="2487" spans="1:1">
      <c r="A2487" s="7">
        <v>45000</v>
      </c>
    </row>
    <row r="2488" spans="1:1">
      <c r="A2488" s="6"/>
    </row>
    <row r="2489" spans="1:1">
      <c r="A2489" s="5" t="s">
        <v>19</v>
      </c>
    </row>
    <row r="2490" spans="1:1">
      <c r="A2490" s="5" t="s">
        <v>20</v>
      </c>
    </row>
    <row r="2491" spans="1:1">
      <c r="A2491" s="5" t="s">
        <v>21</v>
      </c>
    </row>
    <row r="2492" spans="1:1">
      <c r="A2492" s="5" t="s">
        <v>22</v>
      </c>
    </row>
    <row r="2493" spans="1:1">
      <c r="A2493" s="5" t="s">
        <v>23</v>
      </c>
    </row>
    <row r="2494" spans="1:1">
      <c r="A2494" s="5" t="s">
        <v>24</v>
      </c>
    </row>
    <row r="2495" spans="1:1">
      <c r="A2495" s="5" t="s">
        <v>25</v>
      </c>
    </row>
    <row r="2496" spans="1:1">
      <c r="A2496" s="5" t="s">
        <v>26</v>
      </c>
    </row>
    <row r="2497" spans="1:1">
      <c r="A2497" s="5" t="s">
        <v>27</v>
      </c>
    </row>
    <row r="2498" spans="1:1">
      <c r="A2498" s="5" t="s">
        <v>6</v>
      </c>
    </row>
    <row r="2499" spans="1:1">
      <c r="A2499" s="5" t="s">
        <v>28</v>
      </c>
    </row>
    <row r="2500" spans="1:1">
      <c r="A2500" s="5" t="s">
        <v>29</v>
      </c>
    </row>
    <row r="2501" spans="1:1">
      <c r="A2501" s="6"/>
    </row>
    <row r="2502" spans="1:1">
      <c r="A2502" s="6"/>
    </row>
    <row r="2503" spans="1:1">
      <c r="A2503" s="5" t="s">
        <v>6</v>
      </c>
    </row>
    <row r="2504" spans="1:1">
      <c r="A2504" s="5" t="s">
        <v>30</v>
      </c>
    </row>
    <row r="2505" spans="1:1">
      <c r="A2505" s="6"/>
    </row>
    <row r="2506" spans="1:1">
      <c r="A2506" s="5" t="s">
        <v>31</v>
      </c>
    </row>
    <row r="2507" spans="1:1">
      <c r="A2507" s="5" t="s">
        <v>32</v>
      </c>
    </row>
    <row r="2508" spans="1:1">
      <c r="A2508" s="5" t="s">
        <v>33</v>
      </c>
    </row>
    <row r="2509" spans="1:1">
      <c r="A2509" s="5" t="s">
        <v>34</v>
      </c>
    </row>
    <row r="2510" spans="1:1">
      <c r="A2510" s="5" t="s">
        <v>35</v>
      </c>
    </row>
    <row r="2511" spans="1:1">
      <c r="A2511" s="5" t="s">
        <v>36</v>
      </c>
    </row>
    <row r="2512" spans="1:1">
      <c r="A2512" s="5" t="s">
        <v>37</v>
      </c>
    </row>
    <row r="2513" spans="1:1">
      <c r="A2513" s="5" t="s">
        <v>38</v>
      </c>
    </row>
    <row r="2514" spans="1:1">
      <c r="A2514" s="5" t="s">
        <v>39</v>
      </c>
    </row>
    <row r="2515" spans="1:1">
      <c r="A2515" s="6"/>
    </row>
    <row r="2516" spans="1:1">
      <c r="A2516" s="5" t="s">
        <v>253</v>
      </c>
    </row>
    <row r="2517" spans="1:1">
      <c r="A2517" s="5" t="s">
        <v>254</v>
      </c>
    </row>
    <row r="2518" spans="1:1">
      <c r="A2518" s="6"/>
    </row>
    <row r="2519" spans="1:1">
      <c r="A2519" s="6"/>
    </row>
    <row r="2520" spans="1:1">
      <c r="A2520" s="6"/>
    </row>
    <row r="2521" spans="1:1">
      <c r="A2521" s="6"/>
    </row>
    <row r="2522" spans="1:1">
      <c r="A2522" s="5" t="s">
        <v>6</v>
      </c>
    </row>
    <row r="2523" spans="1:1">
      <c r="A2523" s="5" t="s">
        <v>40</v>
      </c>
    </row>
    <row r="2524" spans="1:1">
      <c r="A2524" s="6"/>
    </row>
    <row r="2525" spans="1:1">
      <c r="A2525" s="5" t="s">
        <v>41</v>
      </c>
    </row>
    <row r="2526" spans="1:1">
      <c r="A2526" s="6"/>
    </row>
    <row r="2527" spans="1:1">
      <c r="A2527" s="5" t="s">
        <v>42</v>
      </c>
    </row>
    <row r="2528" spans="1:1">
      <c r="A2528" s="6"/>
    </row>
    <row r="2529" spans="1:1">
      <c r="A2529" s="5" t="s">
        <v>43</v>
      </c>
    </row>
    <row r="2530" spans="1:1">
      <c r="A2530" s="5" t="s">
        <v>44</v>
      </c>
    </row>
    <row r="2531" spans="1:1">
      <c r="A2531" s="5" t="s">
        <v>45</v>
      </c>
    </row>
    <row r="2532" spans="1:1">
      <c r="A2532" s="5" t="s">
        <v>46</v>
      </c>
    </row>
    <row r="2533" spans="1:1">
      <c r="A2533" s="5" t="s">
        <v>47</v>
      </c>
    </row>
    <row r="2534" spans="1:1">
      <c r="A2534" s="5" t="s">
        <v>37</v>
      </c>
    </row>
    <row r="2535" spans="1:1">
      <c r="A2535" s="6"/>
    </row>
    <row r="2536" spans="1:1">
      <c r="A2536" s="5" t="s">
        <v>253</v>
      </c>
    </row>
    <row r="2537" spans="1:1">
      <c r="A2537" s="5" t="s">
        <v>254</v>
      </c>
    </row>
    <row r="2538" spans="1:1">
      <c r="A2538" s="6"/>
    </row>
    <row r="2539" spans="1:1">
      <c r="A2539" s="6"/>
    </row>
    <row r="2540" spans="1:1">
      <c r="A2540" s="5" t="s">
        <v>3</v>
      </c>
    </row>
    <row r="2541" spans="1:1">
      <c r="A2541" s="5" t="s">
        <v>4</v>
      </c>
    </row>
    <row r="2542" spans="1:1">
      <c r="A2542" s="5" t="s">
        <v>5</v>
      </c>
    </row>
    <row r="2543" spans="1:1">
      <c r="A2543" s="5" t="s">
        <v>6</v>
      </c>
    </row>
    <row r="2544" spans="1:1">
      <c r="A2544" s="5" t="s">
        <v>7</v>
      </c>
    </row>
    <row r="2545" spans="1:1">
      <c r="A2545" s="5" t="s">
        <v>6</v>
      </c>
    </row>
    <row r="2546" spans="1:1">
      <c r="A2546" s="5" t="s">
        <v>255</v>
      </c>
    </row>
    <row r="2547" spans="1:1">
      <c r="A2547" s="5" t="s">
        <v>256</v>
      </c>
    </row>
    <row r="2548" spans="1:1">
      <c r="A2548" s="6"/>
    </row>
    <row r="2549" spans="1:1">
      <c r="A2549" s="5" t="s">
        <v>87</v>
      </c>
    </row>
    <row r="2550" spans="1:1">
      <c r="A2550" s="5" t="s">
        <v>88</v>
      </c>
    </row>
    <row r="2551" spans="1:1">
      <c r="A2551" s="5" t="s">
        <v>89</v>
      </c>
    </row>
    <row r="2552" spans="1:1">
      <c r="A2552" s="5" t="s">
        <v>119</v>
      </c>
    </row>
    <row r="2553" spans="1:1">
      <c r="A2553" s="5" t="s">
        <v>6</v>
      </c>
    </row>
    <row r="2554" spans="1:1">
      <c r="A2554" s="5" t="s">
        <v>91</v>
      </c>
    </row>
    <row r="2555" spans="1:1">
      <c r="A2555" s="5" t="s">
        <v>63</v>
      </c>
    </row>
    <row r="2556" spans="1:1">
      <c r="A2556" s="5" t="s">
        <v>92</v>
      </c>
    </row>
    <row r="2557" spans="1:1">
      <c r="A2557" s="6"/>
    </row>
    <row r="2558" spans="1:1">
      <c r="A2558" s="5" t="s">
        <v>18</v>
      </c>
    </row>
    <row r="2559" spans="1:1">
      <c r="A2559" s="7">
        <v>45000</v>
      </c>
    </row>
    <row r="2560" spans="1:1">
      <c r="A2560" s="6"/>
    </row>
    <row r="2561" spans="1:1">
      <c r="A2561" s="5" t="s">
        <v>19</v>
      </c>
    </row>
    <row r="2562" spans="1:1">
      <c r="A2562" s="5" t="s">
        <v>20</v>
      </c>
    </row>
    <row r="2563" spans="1:1">
      <c r="A2563" s="5" t="s">
        <v>21</v>
      </c>
    </row>
    <row r="2564" spans="1:1">
      <c r="A2564" s="5" t="s">
        <v>22</v>
      </c>
    </row>
    <row r="2565" spans="1:1">
      <c r="A2565" s="5" t="s">
        <v>23</v>
      </c>
    </row>
    <row r="2566" spans="1:1">
      <c r="A2566" s="5" t="s">
        <v>24</v>
      </c>
    </row>
    <row r="2567" spans="1:1">
      <c r="A2567" s="5" t="s">
        <v>25</v>
      </c>
    </row>
    <row r="2568" spans="1:1">
      <c r="A2568" s="5" t="s">
        <v>26</v>
      </c>
    </row>
    <row r="2569" spans="1:1">
      <c r="A2569" s="5" t="s">
        <v>27</v>
      </c>
    </row>
    <row r="2570" spans="1:1">
      <c r="A2570" s="5" t="s">
        <v>6</v>
      </c>
    </row>
    <row r="2571" spans="1:1">
      <c r="A2571" s="5" t="s">
        <v>28</v>
      </c>
    </row>
    <row r="2572" spans="1:1">
      <c r="A2572" s="5" t="s">
        <v>29</v>
      </c>
    </row>
    <row r="2573" spans="1:1">
      <c r="A2573" s="6"/>
    </row>
    <row r="2574" spans="1:1">
      <c r="A2574" s="6"/>
    </row>
    <row r="2575" spans="1:1">
      <c r="A2575" s="5" t="s">
        <v>6</v>
      </c>
    </row>
    <row r="2576" spans="1:1">
      <c r="A2576" s="5" t="s">
        <v>30</v>
      </c>
    </row>
    <row r="2577" spans="1:1">
      <c r="A2577" s="6"/>
    </row>
    <row r="2578" spans="1:1">
      <c r="A2578" s="5" t="s">
        <v>31</v>
      </c>
    </row>
    <row r="2579" spans="1:1">
      <c r="A2579" s="5" t="s">
        <v>32</v>
      </c>
    </row>
    <row r="2580" spans="1:1">
      <c r="A2580" s="5" t="s">
        <v>33</v>
      </c>
    </row>
    <row r="2581" spans="1:1">
      <c r="A2581" s="5" t="s">
        <v>34</v>
      </c>
    </row>
    <row r="2582" spans="1:1">
      <c r="A2582" s="5" t="s">
        <v>35</v>
      </c>
    </row>
    <row r="2583" spans="1:1">
      <c r="A2583" s="5" t="s">
        <v>36</v>
      </c>
    </row>
    <row r="2584" spans="1:1">
      <c r="A2584" s="5" t="s">
        <v>37</v>
      </c>
    </row>
    <row r="2585" spans="1:1">
      <c r="A2585" s="5" t="s">
        <v>38</v>
      </c>
    </row>
    <row r="2586" spans="1:1">
      <c r="A2586" s="5" t="s">
        <v>39</v>
      </c>
    </row>
    <row r="2587" spans="1:1">
      <c r="A2587" s="6"/>
    </row>
    <row r="2588" spans="1:1">
      <c r="A2588" s="5" t="s">
        <v>255</v>
      </c>
    </row>
    <row r="2589" spans="1:1">
      <c r="A2589" s="5" t="s">
        <v>256</v>
      </c>
    </row>
    <row r="2590" spans="1:1">
      <c r="A2590" s="6"/>
    </row>
    <row r="2591" spans="1:1">
      <c r="A2591" s="6"/>
    </row>
    <row r="2592" spans="1:1">
      <c r="A2592" s="6"/>
    </row>
    <row r="2593" spans="1:1">
      <c r="A2593" s="6"/>
    </row>
    <row r="2594" spans="1:1">
      <c r="A2594" s="5" t="s">
        <v>6</v>
      </c>
    </row>
    <row r="2595" spans="1:1">
      <c r="A2595" s="5" t="s">
        <v>40</v>
      </c>
    </row>
    <row r="2596" spans="1:1">
      <c r="A2596" s="6"/>
    </row>
    <row r="2597" spans="1:1">
      <c r="A2597" s="5" t="s">
        <v>41</v>
      </c>
    </row>
    <row r="2598" spans="1:1">
      <c r="A2598" s="6"/>
    </row>
    <row r="2599" spans="1:1">
      <c r="A2599" s="5" t="s">
        <v>42</v>
      </c>
    </row>
    <row r="2600" spans="1:1">
      <c r="A2600" s="6"/>
    </row>
    <row r="2601" spans="1:1">
      <c r="A2601" s="5" t="s">
        <v>43</v>
      </c>
    </row>
    <row r="2602" spans="1:1">
      <c r="A2602" s="5" t="s">
        <v>44</v>
      </c>
    </row>
    <row r="2603" spans="1:1">
      <c r="A2603" s="5" t="s">
        <v>45</v>
      </c>
    </row>
    <row r="2604" spans="1:1">
      <c r="A2604" s="5" t="s">
        <v>46</v>
      </c>
    </row>
    <row r="2605" spans="1:1">
      <c r="A2605" s="5" t="s">
        <v>47</v>
      </c>
    </row>
    <row r="2606" spans="1:1">
      <c r="A2606" s="5" t="s">
        <v>37</v>
      </c>
    </row>
    <row r="2607" spans="1:1">
      <c r="A2607" s="6"/>
    </row>
    <row r="2608" spans="1:1">
      <c r="A2608" s="5" t="s">
        <v>255</v>
      </c>
    </row>
    <row r="2609" spans="1:1">
      <c r="A2609" s="5" t="s">
        <v>256</v>
      </c>
    </row>
    <row r="2610" spans="1:1">
      <c r="A2610" s="6"/>
    </row>
    <row r="2611" spans="1:1">
      <c r="A2611" s="6"/>
    </row>
    <row r="2612" spans="1:1">
      <c r="A2612" s="5" t="s">
        <v>3</v>
      </c>
    </row>
    <row r="2613" spans="1:1">
      <c r="A2613" s="5" t="s">
        <v>4</v>
      </c>
    </row>
    <row r="2614" spans="1:1">
      <c r="A2614" s="5" t="s">
        <v>5</v>
      </c>
    </row>
    <row r="2615" spans="1:1">
      <c r="A2615" s="5" t="s">
        <v>6</v>
      </c>
    </row>
    <row r="2616" spans="1:1">
      <c r="A2616" s="5" t="s">
        <v>7</v>
      </c>
    </row>
    <row r="2617" spans="1:1">
      <c r="A2617" s="5" t="s">
        <v>6</v>
      </c>
    </row>
    <row r="2618" spans="1:1">
      <c r="A2618" s="5" t="s">
        <v>257</v>
      </c>
    </row>
    <row r="2619" spans="1:1">
      <c r="A2619" s="5" t="s">
        <v>258</v>
      </c>
    </row>
    <row r="2620" spans="1:1">
      <c r="A2620" s="6"/>
    </row>
    <row r="2621" spans="1:1">
      <c r="A2621" s="5" t="s">
        <v>109</v>
      </c>
    </row>
    <row r="2622" spans="1:1">
      <c r="A2622" s="5" t="s">
        <v>103</v>
      </c>
    </row>
    <row r="2623" spans="1:1">
      <c r="A2623" s="5" t="s">
        <v>6</v>
      </c>
    </row>
    <row r="2624" spans="1:1">
      <c r="A2624" s="5" t="s">
        <v>110</v>
      </c>
    </row>
    <row r="2625" spans="1:1">
      <c r="A2625" s="5" t="s">
        <v>259</v>
      </c>
    </row>
    <row r="2626" spans="1:1">
      <c r="A2626" s="6"/>
    </row>
    <row r="2627" spans="1:1">
      <c r="A2627" s="5" t="s">
        <v>19</v>
      </c>
    </row>
    <row r="2628" spans="1:1">
      <c r="A2628" s="5" t="s">
        <v>20</v>
      </c>
    </row>
    <row r="2629" spans="1:1">
      <c r="A2629" s="5" t="s">
        <v>21</v>
      </c>
    </row>
    <row r="2630" spans="1:1">
      <c r="A2630" s="5" t="s">
        <v>22</v>
      </c>
    </row>
    <row r="2631" spans="1:1">
      <c r="A2631" s="5" t="s">
        <v>23</v>
      </c>
    </row>
    <row r="2632" spans="1:1">
      <c r="A2632" s="5" t="s">
        <v>24</v>
      </c>
    </row>
    <row r="2633" spans="1:1">
      <c r="A2633" s="5" t="s">
        <v>25</v>
      </c>
    </row>
    <row r="2634" spans="1:1">
      <c r="A2634" s="5" t="s">
        <v>26</v>
      </c>
    </row>
    <row r="2635" spans="1:1">
      <c r="A2635" s="5" t="s">
        <v>27</v>
      </c>
    </row>
    <row r="2636" spans="1:1">
      <c r="A2636" s="5" t="s">
        <v>6</v>
      </c>
    </row>
    <row r="2637" spans="1:1">
      <c r="A2637" s="5" t="s">
        <v>28</v>
      </c>
    </row>
    <row r="2638" spans="1:1">
      <c r="A2638" s="5" t="s">
        <v>29</v>
      </c>
    </row>
    <row r="2639" spans="1:1">
      <c r="A2639" s="6"/>
    </row>
    <row r="2640" spans="1:1">
      <c r="A2640" s="6"/>
    </row>
    <row r="2641" spans="1:1">
      <c r="A2641" s="5" t="s">
        <v>6</v>
      </c>
    </row>
    <row r="2642" spans="1:1">
      <c r="A2642" s="5" t="s">
        <v>30</v>
      </c>
    </row>
    <row r="2643" spans="1:1">
      <c r="A2643" s="6"/>
    </row>
    <row r="2644" spans="1:1">
      <c r="A2644" s="5" t="s">
        <v>31</v>
      </c>
    </row>
    <row r="2645" spans="1:1">
      <c r="A2645" s="5" t="s">
        <v>32</v>
      </c>
    </row>
    <row r="2646" spans="1:1">
      <c r="A2646" s="5" t="s">
        <v>33</v>
      </c>
    </row>
    <row r="2647" spans="1:1">
      <c r="A2647" s="5" t="s">
        <v>34</v>
      </c>
    </row>
    <row r="2648" spans="1:1">
      <c r="A2648" s="5" t="s">
        <v>35</v>
      </c>
    </row>
    <row r="2649" spans="1:1">
      <c r="A2649" s="5" t="s">
        <v>36</v>
      </c>
    </row>
    <row r="2650" spans="1:1">
      <c r="A2650" s="5" t="s">
        <v>37</v>
      </c>
    </row>
    <row r="2651" spans="1:1">
      <c r="A2651" s="5" t="s">
        <v>38</v>
      </c>
    </row>
    <row r="2652" spans="1:1">
      <c r="A2652" s="5" t="s">
        <v>39</v>
      </c>
    </row>
    <row r="2653" spans="1:1">
      <c r="A2653" s="6"/>
    </row>
    <row r="2654" spans="1:1">
      <c r="A2654" s="5" t="s">
        <v>257</v>
      </c>
    </row>
    <row r="2655" spans="1:1">
      <c r="A2655" s="5" t="s">
        <v>258</v>
      </c>
    </row>
    <row r="2656" spans="1:1">
      <c r="A2656" s="6"/>
    </row>
    <row r="2657" spans="1:1">
      <c r="A2657" s="6"/>
    </row>
    <row r="2658" spans="1:1">
      <c r="A2658" s="5" t="s">
        <v>3</v>
      </c>
    </row>
    <row r="2659" spans="1:1">
      <c r="A2659" s="5" t="s">
        <v>4</v>
      </c>
    </row>
    <row r="2660" spans="1:1">
      <c r="A2660" s="5" t="s">
        <v>5</v>
      </c>
    </row>
    <row r="2661" spans="1:1">
      <c r="A2661" s="5" t="s">
        <v>6</v>
      </c>
    </row>
    <row r="2662" spans="1:1">
      <c r="A2662" s="5" t="s">
        <v>7</v>
      </c>
    </row>
    <row r="2663" spans="1:1">
      <c r="A2663" s="5" t="s">
        <v>6</v>
      </c>
    </row>
    <row r="2664" spans="1:1">
      <c r="A2664" s="5" t="s">
        <v>260</v>
      </c>
    </row>
    <row r="2665" spans="1:1">
      <c r="A2665" s="5" t="s">
        <v>261</v>
      </c>
    </row>
    <row r="2666" spans="1:1">
      <c r="A2666" s="6"/>
    </row>
    <row r="2667" spans="1:1">
      <c r="A2667" s="5" t="s">
        <v>12</v>
      </c>
    </row>
    <row r="2668" spans="1:1">
      <c r="A2668" s="5" t="s">
        <v>13</v>
      </c>
    </row>
    <row r="2669" spans="1:1">
      <c r="A2669" s="5" t="s">
        <v>200</v>
      </c>
    </row>
    <row r="2670" spans="1:1">
      <c r="A2670" s="5" t="s">
        <v>103</v>
      </c>
    </row>
    <row r="2671" spans="1:1">
      <c r="A2671" s="5" t="s">
        <v>6</v>
      </c>
    </row>
    <row r="2672" spans="1:1">
      <c r="A2672" s="5" t="s">
        <v>16</v>
      </c>
    </row>
    <row r="2673" spans="1:1">
      <c r="A2673" s="5" t="s">
        <v>17</v>
      </c>
    </row>
    <row r="2674" spans="1:1">
      <c r="A2674" s="6"/>
    </row>
    <row r="2675" spans="1:1">
      <c r="A2675" s="5" t="s">
        <v>18</v>
      </c>
    </row>
    <row r="2676" spans="1:1">
      <c r="A2676" s="7">
        <v>100000</v>
      </c>
    </row>
    <row r="2677" spans="1:1">
      <c r="A2677" s="6"/>
    </row>
    <row r="2678" spans="1:1">
      <c r="A2678" s="5" t="s">
        <v>19</v>
      </c>
    </row>
    <row r="2679" spans="1:1">
      <c r="A2679" s="5" t="s">
        <v>20</v>
      </c>
    </row>
    <row r="2680" spans="1:1">
      <c r="A2680" s="5" t="s">
        <v>21</v>
      </c>
    </row>
    <row r="2681" spans="1:1">
      <c r="A2681" s="5" t="s">
        <v>22</v>
      </c>
    </row>
    <row r="2682" spans="1:1">
      <c r="A2682" s="5" t="s">
        <v>23</v>
      </c>
    </row>
    <row r="2683" spans="1:1">
      <c r="A2683" s="5" t="s">
        <v>24</v>
      </c>
    </row>
    <row r="2684" spans="1:1">
      <c r="A2684" s="5" t="s">
        <v>25</v>
      </c>
    </row>
    <row r="2685" spans="1:1">
      <c r="A2685" s="5" t="s">
        <v>26</v>
      </c>
    </row>
    <row r="2686" spans="1:1">
      <c r="A2686" s="5" t="s">
        <v>27</v>
      </c>
    </row>
    <row r="2687" spans="1:1">
      <c r="A2687" s="5" t="s">
        <v>6</v>
      </c>
    </row>
    <row r="2688" spans="1:1">
      <c r="A2688" s="5" t="s">
        <v>28</v>
      </c>
    </row>
    <row r="2689" spans="1:1">
      <c r="A2689" s="5" t="s">
        <v>29</v>
      </c>
    </row>
    <row r="2690" spans="1:1">
      <c r="A2690" s="6"/>
    </row>
    <row r="2691" spans="1:1">
      <c r="A2691" s="6"/>
    </row>
    <row r="2692" spans="1:1">
      <c r="A2692" s="5" t="s">
        <v>6</v>
      </c>
    </row>
    <row r="2693" spans="1:1">
      <c r="A2693" s="5" t="s">
        <v>30</v>
      </c>
    </row>
    <row r="2694" spans="1:1">
      <c r="A2694" s="6"/>
    </row>
    <row r="2695" spans="1:1">
      <c r="A2695" s="5" t="s">
        <v>31</v>
      </c>
    </row>
    <row r="2696" spans="1:1">
      <c r="A2696" s="5" t="s">
        <v>32</v>
      </c>
    </row>
    <row r="2697" spans="1:1">
      <c r="A2697" s="5" t="s">
        <v>33</v>
      </c>
    </row>
    <row r="2698" spans="1:1">
      <c r="A2698" s="5" t="s">
        <v>34</v>
      </c>
    </row>
    <row r="2699" spans="1:1">
      <c r="A2699" s="5" t="s">
        <v>35</v>
      </c>
    </row>
    <row r="2700" spans="1:1">
      <c r="A2700" s="5" t="s">
        <v>36</v>
      </c>
    </row>
    <row r="2701" spans="1:1">
      <c r="A2701" s="5" t="s">
        <v>37</v>
      </c>
    </row>
    <row r="2702" spans="1:1">
      <c r="A2702" s="5" t="s">
        <v>38</v>
      </c>
    </row>
    <row r="2703" spans="1:1">
      <c r="A2703" s="5" t="s">
        <v>39</v>
      </c>
    </row>
    <row r="2704" spans="1:1">
      <c r="A2704" s="6"/>
    </row>
    <row r="2705" spans="1:1">
      <c r="A2705" s="5" t="s">
        <v>260</v>
      </c>
    </row>
    <row r="2706" spans="1:1">
      <c r="A2706" s="5" t="s">
        <v>261</v>
      </c>
    </row>
    <row r="2707" spans="1:1">
      <c r="A2707" s="6"/>
    </row>
    <row r="2708" spans="1:1">
      <c r="A2708" s="6"/>
    </row>
    <row r="2709" spans="1:1">
      <c r="A2709" s="6"/>
    </row>
    <row r="2710" spans="1:1">
      <c r="A2710" s="6"/>
    </row>
    <row r="2711" spans="1:1">
      <c r="A2711" s="5" t="s">
        <v>6</v>
      </c>
    </row>
    <row r="2712" spans="1:1">
      <c r="A2712" s="5" t="s">
        <v>40</v>
      </c>
    </row>
    <row r="2713" spans="1:1">
      <c r="A2713" s="6"/>
    </row>
    <row r="2714" spans="1:1">
      <c r="A2714" s="5" t="s">
        <v>41</v>
      </c>
    </row>
    <row r="2715" spans="1:1">
      <c r="A2715" s="6"/>
    </row>
    <row r="2716" spans="1:1">
      <c r="A2716" s="5" t="s">
        <v>42</v>
      </c>
    </row>
    <row r="2717" spans="1:1">
      <c r="A2717" s="6"/>
    </row>
    <row r="2718" spans="1:1">
      <c r="A2718" s="5" t="s">
        <v>43</v>
      </c>
    </row>
    <row r="2719" spans="1:1">
      <c r="A2719" s="5" t="s">
        <v>44</v>
      </c>
    </row>
    <row r="2720" spans="1:1">
      <c r="A2720" s="5" t="s">
        <v>45</v>
      </c>
    </row>
    <row r="2721" spans="1:1">
      <c r="A2721" s="5" t="s">
        <v>46</v>
      </c>
    </row>
    <row r="2722" spans="1:1">
      <c r="A2722" s="5" t="s">
        <v>47</v>
      </c>
    </row>
    <row r="2723" spans="1:1">
      <c r="A2723" s="5" t="s">
        <v>37</v>
      </c>
    </row>
    <row r="2724" spans="1:1">
      <c r="A2724" s="6"/>
    </row>
    <row r="2725" spans="1:1">
      <c r="A2725" s="5" t="s">
        <v>260</v>
      </c>
    </row>
    <row r="2726" spans="1:1">
      <c r="A2726" s="5" t="s">
        <v>261</v>
      </c>
    </row>
    <row r="2727" spans="1:1">
      <c r="A2727" s="6"/>
    </row>
    <row r="2728" spans="1:1">
      <c r="A2728" s="6"/>
    </row>
    <row r="2729" spans="1:1">
      <c r="A2729" s="5" t="s">
        <v>3</v>
      </c>
    </row>
    <row r="2730" spans="1:1">
      <c r="A2730" s="5" t="s">
        <v>4</v>
      </c>
    </row>
    <row r="2731" spans="1:1">
      <c r="A2731" s="5" t="s">
        <v>5</v>
      </c>
    </row>
    <row r="2732" spans="1:1">
      <c r="A2732" s="5" t="s">
        <v>6</v>
      </c>
    </row>
    <row r="2733" spans="1:1">
      <c r="A2733" s="5" t="s">
        <v>7</v>
      </c>
    </row>
    <row r="2734" spans="1:1">
      <c r="A2734" s="5" t="s">
        <v>6</v>
      </c>
    </row>
    <row r="2735" spans="1:1">
      <c r="A2735" s="5" t="s">
        <v>262</v>
      </c>
    </row>
    <row r="2736" spans="1:1">
      <c r="A2736" s="5" t="s">
        <v>263</v>
      </c>
    </row>
    <row r="2737" spans="1:1">
      <c r="A2737" s="6"/>
    </row>
    <row r="2738" spans="1:1">
      <c r="A2738" s="5" t="s">
        <v>58</v>
      </c>
    </row>
    <row r="2739" spans="1:1">
      <c r="A2739" s="5" t="s">
        <v>59</v>
      </c>
    </row>
    <row r="2740" spans="1:1">
      <c r="A2740" s="5" t="s">
        <v>60</v>
      </c>
    </row>
    <row r="2741" spans="1:1">
      <c r="A2741" s="5" t="s">
        <v>207</v>
      </c>
    </row>
    <row r="2742" spans="1:1">
      <c r="A2742" s="5" t="s">
        <v>103</v>
      </c>
    </row>
    <row r="2743" spans="1:1">
      <c r="A2743" s="5" t="s">
        <v>6</v>
      </c>
    </row>
    <row r="2744" spans="1:1">
      <c r="A2744" s="5" t="s">
        <v>264</v>
      </c>
    </row>
    <row r="2745" spans="1:1">
      <c r="A2745" s="5" t="s">
        <v>17</v>
      </c>
    </row>
    <row r="2746" spans="1:1">
      <c r="A2746" s="5" t="s">
        <v>265</v>
      </c>
    </row>
    <row r="2747" spans="1:1">
      <c r="A2747" s="6"/>
    </row>
    <row r="2748" spans="1:1">
      <c r="A2748" s="5" t="s">
        <v>18</v>
      </c>
    </row>
    <row r="2749" spans="1:1">
      <c r="A2749" s="7">
        <v>181860</v>
      </c>
    </row>
    <row r="2750" spans="1:1">
      <c r="A2750" s="6"/>
    </row>
    <row r="2751" spans="1:1">
      <c r="A2751" s="5" t="s">
        <v>19</v>
      </c>
    </row>
    <row r="2752" spans="1:1">
      <c r="A2752" s="5" t="s">
        <v>20</v>
      </c>
    </row>
    <row r="2753" spans="1:1">
      <c r="A2753" s="5" t="s">
        <v>21</v>
      </c>
    </row>
    <row r="2754" spans="1:1">
      <c r="A2754" s="5" t="s">
        <v>22</v>
      </c>
    </row>
    <row r="2755" spans="1:1">
      <c r="A2755" s="5" t="s">
        <v>23</v>
      </c>
    </row>
    <row r="2756" spans="1:1">
      <c r="A2756" s="5" t="s">
        <v>24</v>
      </c>
    </row>
    <row r="2757" spans="1:1">
      <c r="A2757" s="5" t="s">
        <v>25</v>
      </c>
    </row>
    <row r="2758" spans="1:1">
      <c r="A2758" s="5" t="s">
        <v>26</v>
      </c>
    </row>
    <row r="2759" spans="1:1">
      <c r="A2759" s="5" t="s">
        <v>27</v>
      </c>
    </row>
    <row r="2760" spans="1:1">
      <c r="A2760" s="5" t="s">
        <v>6</v>
      </c>
    </row>
    <row r="2761" spans="1:1">
      <c r="A2761" s="5" t="s">
        <v>28</v>
      </c>
    </row>
    <row r="2762" spans="1:1">
      <c r="A2762" s="5" t="s">
        <v>29</v>
      </c>
    </row>
    <row r="2763" spans="1:1">
      <c r="A2763" s="6"/>
    </row>
    <row r="2764" spans="1:1">
      <c r="A2764" s="6"/>
    </row>
    <row r="2765" spans="1:1">
      <c r="A2765" s="5" t="s">
        <v>6</v>
      </c>
    </row>
    <row r="2766" spans="1:1">
      <c r="A2766" s="5" t="s">
        <v>30</v>
      </c>
    </row>
    <row r="2767" spans="1:1">
      <c r="A2767" s="6"/>
    </row>
    <row r="2768" spans="1:1">
      <c r="A2768" s="5" t="s">
        <v>31</v>
      </c>
    </row>
    <row r="2769" spans="1:1">
      <c r="A2769" s="5" t="s">
        <v>32</v>
      </c>
    </row>
    <row r="2770" spans="1:1">
      <c r="A2770" s="5" t="s">
        <v>33</v>
      </c>
    </row>
    <row r="2771" spans="1:1">
      <c r="A2771" s="5" t="s">
        <v>34</v>
      </c>
    </row>
    <row r="2772" spans="1:1">
      <c r="A2772" s="5" t="s">
        <v>35</v>
      </c>
    </row>
    <row r="2773" spans="1:1">
      <c r="A2773" s="5" t="s">
        <v>36</v>
      </c>
    </row>
    <row r="2774" spans="1:1">
      <c r="A2774" s="5" t="s">
        <v>37</v>
      </c>
    </row>
    <row r="2775" spans="1:1">
      <c r="A2775" s="5" t="s">
        <v>38</v>
      </c>
    </row>
    <row r="2776" spans="1:1">
      <c r="A2776" s="5" t="s">
        <v>39</v>
      </c>
    </row>
    <row r="2777" spans="1:1">
      <c r="A2777" s="6"/>
    </row>
    <row r="2778" spans="1:1">
      <c r="A2778" s="5" t="s">
        <v>262</v>
      </c>
    </row>
    <row r="2779" spans="1:1">
      <c r="A2779" s="5" t="s">
        <v>263</v>
      </c>
    </row>
    <row r="2780" spans="1:1">
      <c r="A2780" s="6"/>
    </row>
    <row r="2781" spans="1:1">
      <c r="A2781" s="6"/>
    </row>
    <row r="2782" spans="1:1">
      <c r="A2782" s="5" t="s">
        <v>3</v>
      </c>
    </row>
    <row r="2783" spans="1:1">
      <c r="A2783" s="5" t="s">
        <v>4</v>
      </c>
    </row>
    <row r="2784" spans="1:1">
      <c r="A2784" s="5" t="s">
        <v>5</v>
      </c>
    </row>
    <row r="2785" spans="1:1">
      <c r="A2785" s="5" t="s">
        <v>6</v>
      </c>
    </row>
    <row r="2786" spans="1:1">
      <c r="A2786" s="5" t="s">
        <v>7</v>
      </c>
    </row>
    <row r="2787" spans="1:1">
      <c r="A2787" s="5" t="s">
        <v>6</v>
      </c>
    </row>
    <row r="2788" spans="1:1">
      <c r="A2788" s="5" t="s">
        <v>266</v>
      </c>
    </row>
    <row r="2789" spans="1:1">
      <c r="A2789" s="5" t="s">
        <v>267</v>
      </c>
    </row>
    <row r="2790" spans="1:1">
      <c r="A2790" s="6"/>
    </row>
    <row r="2791" spans="1:1">
      <c r="A2791" s="5" t="s">
        <v>109</v>
      </c>
    </row>
    <row r="2792" spans="1:1">
      <c r="A2792" s="5" t="s">
        <v>103</v>
      </c>
    </row>
    <row r="2793" spans="1:1">
      <c r="A2793" s="5" t="s">
        <v>6</v>
      </c>
    </row>
    <row r="2794" spans="1:1">
      <c r="A2794" s="5" t="s">
        <v>110</v>
      </c>
    </row>
    <row r="2795" spans="1:1">
      <c r="A2795" s="5" t="s">
        <v>17</v>
      </c>
    </row>
    <row r="2796" spans="1:1">
      <c r="A2796" s="5" t="s">
        <v>111</v>
      </c>
    </row>
    <row r="2797" spans="1:1">
      <c r="A2797" s="6"/>
    </row>
    <row r="2798" spans="1:1">
      <c r="A2798" s="5" t="s">
        <v>19</v>
      </c>
    </row>
    <row r="2799" spans="1:1">
      <c r="A2799" s="5" t="s">
        <v>20</v>
      </c>
    </row>
    <row r="2800" spans="1:1">
      <c r="A2800" s="5" t="s">
        <v>21</v>
      </c>
    </row>
    <row r="2801" spans="1:1">
      <c r="A2801" s="5" t="s">
        <v>22</v>
      </c>
    </row>
    <row r="2802" spans="1:1">
      <c r="A2802" s="5" t="s">
        <v>23</v>
      </c>
    </row>
    <row r="2803" spans="1:1">
      <c r="A2803" s="5" t="s">
        <v>24</v>
      </c>
    </row>
    <row r="2804" spans="1:1">
      <c r="A2804" s="5" t="s">
        <v>25</v>
      </c>
    </row>
    <row r="2805" spans="1:1">
      <c r="A2805" s="5" t="s">
        <v>26</v>
      </c>
    </row>
    <row r="2806" spans="1:1">
      <c r="A2806" s="5" t="s">
        <v>27</v>
      </c>
    </row>
    <row r="2807" spans="1:1">
      <c r="A2807" s="5" t="s">
        <v>6</v>
      </c>
    </row>
    <row r="2808" spans="1:1">
      <c r="A2808" s="5" t="s">
        <v>28</v>
      </c>
    </row>
    <row r="2809" spans="1:1">
      <c r="A2809" s="5" t="s">
        <v>29</v>
      </c>
    </row>
    <row r="2810" spans="1:1">
      <c r="A2810" s="6"/>
    </row>
    <row r="2811" spans="1:1">
      <c r="A2811" s="6"/>
    </row>
    <row r="2812" spans="1:1">
      <c r="A2812" s="5" t="s">
        <v>6</v>
      </c>
    </row>
    <row r="2813" spans="1:1">
      <c r="A2813" s="5" t="s">
        <v>30</v>
      </c>
    </row>
    <row r="2814" spans="1:1">
      <c r="A2814" s="6"/>
    </row>
    <row r="2815" spans="1:1">
      <c r="A2815" s="5" t="s">
        <v>31</v>
      </c>
    </row>
    <row r="2816" spans="1:1">
      <c r="A2816" s="5" t="s">
        <v>32</v>
      </c>
    </row>
    <row r="2817" spans="1:1">
      <c r="A2817" s="5" t="s">
        <v>33</v>
      </c>
    </row>
    <row r="2818" spans="1:1">
      <c r="A2818" s="5" t="s">
        <v>34</v>
      </c>
    </row>
    <row r="2819" spans="1:1">
      <c r="A2819" s="5" t="s">
        <v>35</v>
      </c>
    </row>
    <row r="2820" spans="1:1">
      <c r="A2820" s="5" t="s">
        <v>36</v>
      </c>
    </row>
    <row r="2821" spans="1:1">
      <c r="A2821" s="5" t="s">
        <v>37</v>
      </c>
    </row>
    <row r="2822" spans="1:1">
      <c r="A2822" s="5" t="s">
        <v>38</v>
      </c>
    </row>
    <row r="2823" spans="1:1">
      <c r="A2823" s="5" t="s">
        <v>39</v>
      </c>
    </row>
    <row r="2824" spans="1:1">
      <c r="A2824" s="6"/>
    </row>
    <row r="2825" spans="1:1">
      <c r="A2825" s="5" t="s">
        <v>266</v>
      </c>
    </row>
    <row r="2826" spans="1:1">
      <c r="A2826" s="5" t="s">
        <v>267</v>
      </c>
    </row>
    <row r="2827" spans="1:1">
      <c r="A2827" s="6"/>
    </row>
    <row r="2828" spans="1:1">
      <c r="A2828" s="6"/>
    </row>
    <row r="2829" spans="1:1">
      <c r="A2829" s="5" t="s">
        <v>3</v>
      </c>
    </row>
    <row r="2830" spans="1:1">
      <c r="A2830" s="5" t="s">
        <v>4</v>
      </c>
    </row>
    <row r="2831" spans="1:1">
      <c r="A2831" s="5" t="s">
        <v>5</v>
      </c>
    </row>
    <row r="2832" spans="1:1">
      <c r="A2832" s="5" t="s">
        <v>6</v>
      </c>
    </row>
    <row r="2833" spans="1:1">
      <c r="A2833" s="5" t="s">
        <v>7</v>
      </c>
    </row>
    <row r="2834" spans="1:1">
      <c r="A2834" s="5" t="s">
        <v>6</v>
      </c>
    </row>
    <row r="2835" spans="1:1">
      <c r="A2835" s="5" t="s">
        <v>268</v>
      </c>
    </row>
    <row r="2836" spans="1:1">
      <c r="A2836" s="5" t="s">
        <v>269</v>
      </c>
    </row>
    <row r="2837" spans="1:1">
      <c r="A2837" s="6"/>
    </row>
    <row r="2838" spans="1:1">
      <c r="A2838" s="5" t="s">
        <v>270</v>
      </c>
    </row>
    <row r="2839" spans="1:1">
      <c r="A2839" s="5" t="s">
        <v>271</v>
      </c>
    </row>
    <row r="2840" spans="1:1">
      <c r="A2840" s="5" t="s">
        <v>272</v>
      </c>
    </row>
    <row r="2841" spans="1:1">
      <c r="A2841" s="5" t="s">
        <v>273</v>
      </c>
    </row>
    <row r="2842" spans="1:1">
      <c r="A2842" s="5" t="s">
        <v>70</v>
      </c>
    </row>
    <row r="2843" spans="1:1">
      <c r="A2843" s="5" t="s">
        <v>274</v>
      </c>
    </row>
    <row r="2844" spans="1:1">
      <c r="A2844" s="5" t="s">
        <v>103</v>
      </c>
    </row>
    <row r="2845" spans="1:1">
      <c r="A2845" s="5" t="s">
        <v>275</v>
      </c>
    </row>
    <row r="2846" spans="1:1">
      <c r="A2846" s="5" t="s">
        <v>6</v>
      </c>
    </row>
    <row r="2847" spans="1:1">
      <c r="A2847" s="5" t="s">
        <v>276</v>
      </c>
    </row>
    <row r="2848" spans="1:1">
      <c r="A2848" s="5" t="s">
        <v>277</v>
      </c>
    </row>
    <row r="2849" spans="1:1">
      <c r="A2849" s="5" t="s">
        <v>278</v>
      </c>
    </row>
    <row r="2850" spans="1:1">
      <c r="A2850" s="6"/>
    </row>
    <row r="2851" spans="1:1">
      <c r="A2851" s="5" t="s">
        <v>18</v>
      </c>
    </row>
    <row r="2852" spans="1:1">
      <c r="A2852" s="7">
        <v>79800</v>
      </c>
    </row>
    <row r="2853" spans="1:1">
      <c r="A2853" s="6"/>
    </row>
    <row r="2854" spans="1:1">
      <c r="A2854" s="5" t="s">
        <v>19</v>
      </c>
    </row>
    <row r="2855" spans="1:1">
      <c r="A2855" s="5" t="s">
        <v>20</v>
      </c>
    </row>
    <row r="2856" spans="1:1">
      <c r="A2856" s="5" t="s">
        <v>21</v>
      </c>
    </row>
    <row r="2857" spans="1:1">
      <c r="A2857" s="5" t="s">
        <v>22</v>
      </c>
    </row>
    <row r="2858" spans="1:1">
      <c r="A2858" s="5" t="s">
        <v>23</v>
      </c>
    </row>
    <row r="2859" spans="1:1">
      <c r="A2859" s="5" t="s">
        <v>24</v>
      </c>
    </row>
    <row r="2860" spans="1:1">
      <c r="A2860" s="5" t="s">
        <v>25</v>
      </c>
    </row>
    <row r="2861" spans="1:1">
      <c r="A2861" s="5" t="s">
        <v>26</v>
      </c>
    </row>
    <row r="2862" spans="1:1">
      <c r="A2862" s="5" t="s">
        <v>27</v>
      </c>
    </row>
    <row r="2863" spans="1:1">
      <c r="A2863" s="5" t="s">
        <v>6</v>
      </c>
    </row>
    <row r="2864" spans="1:1">
      <c r="A2864" s="5" t="s">
        <v>28</v>
      </c>
    </row>
    <row r="2865" spans="1:1">
      <c r="A2865" s="5" t="s">
        <v>29</v>
      </c>
    </row>
    <row r="2866" spans="1:1">
      <c r="A2866" s="6"/>
    </row>
    <row r="2867" spans="1:1">
      <c r="A2867" s="6"/>
    </row>
    <row r="2868" spans="1:1">
      <c r="A2868" s="5" t="s">
        <v>6</v>
      </c>
    </row>
    <row r="2869" spans="1:1">
      <c r="A2869" s="5" t="s">
        <v>30</v>
      </c>
    </row>
    <row r="2870" spans="1:1">
      <c r="A2870" s="6"/>
    </row>
    <row r="2871" spans="1:1">
      <c r="A2871" s="5" t="s">
        <v>31</v>
      </c>
    </row>
    <row r="2872" spans="1:1">
      <c r="A2872" s="5" t="s">
        <v>32</v>
      </c>
    </row>
    <row r="2873" spans="1:1">
      <c r="A2873" s="5" t="s">
        <v>33</v>
      </c>
    </row>
    <row r="2874" spans="1:1">
      <c r="A2874" s="5" t="s">
        <v>34</v>
      </c>
    </row>
    <row r="2875" spans="1:1">
      <c r="A2875" s="5" t="s">
        <v>35</v>
      </c>
    </row>
    <row r="2876" spans="1:1">
      <c r="A2876" s="5" t="s">
        <v>36</v>
      </c>
    </row>
    <row r="2877" spans="1:1">
      <c r="A2877" s="5" t="s">
        <v>37</v>
      </c>
    </row>
    <row r="2878" spans="1:1">
      <c r="A2878" s="5" t="s">
        <v>38</v>
      </c>
    </row>
    <row r="2879" spans="1:1">
      <c r="A2879" s="5" t="s">
        <v>39</v>
      </c>
    </row>
    <row r="2880" spans="1:1">
      <c r="A2880" s="6"/>
    </row>
    <row r="2881" spans="1:1">
      <c r="A2881" s="5" t="s">
        <v>268</v>
      </c>
    </row>
    <row r="2882" spans="1:1">
      <c r="A2882" s="5" t="s">
        <v>269</v>
      </c>
    </row>
    <row r="2883" spans="1:1">
      <c r="A2883" s="6"/>
    </row>
    <row r="2884" spans="1:1">
      <c r="A2884" s="6"/>
    </row>
    <row r="2885" spans="1:1">
      <c r="A2885" s="6"/>
    </row>
    <row r="2886" spans="1:1">
      <c r="A2886" s="6"/>
    </row>
    <row r="2887" spans="1:1">
      <c r="A2887" s="5" t="s">
        <v>6</v>
      </c>
    </row>
    <row r="2888" spans="1:1">
      <c r="A2888" s="5" t="s">
        <v>40</v>
      </c>
    </row>
    <row r="2889" spans="1:1">
      <c r="A2889" s="6"/>
    </row>
    <row r="2890" spans="1:1">
      <c r="A2890" s="5" t="s">
        <v>41</v>
      </c>
    </row>
    <row r="2891" spans="1:1">
      <c r="A2891" s="6"/>
    </row>
    <row r="2892" spans="1:1">
      <c r="A2892" s="5" t="s">
        <v>42</v>
      </c>
    </row>
    <row r="2893" spans="1:1">
      <c r="A2893" s="6"/>
    </row>
    <row r="2894" spans="1:1">
      <c r="A2894" s="5" t="s">
        <v>43</v>
      </c>
    </row>
    <row r="2895" spans="1:1">
      <c r="A2895" s="5" t="s">
        <v>44</v>
      </c>
    </row>
    <row r="2896" spans="1:1">
      <c r="A2896" s="5" t="s">
        <v>45</v>
      </c>
    </row>
    <row r="2897" spans="1:1">
      <c r="A2897" s="5" t="s">
        <v>46</v>
      </c>
    </row>
    <row r="2898" spans="1:1">
      <c r="A2898" s="5" t="s">
        <v>47</v>
      </c>
    </row>
    <row r="2899" spans="1:1">
      <c r="A2899" s="5" t="s">
        <v>37</v>
      </c>
    </row>
    <row r="2900" spans="1:1">
      <c r="A2900" s="6"/>
    </row>
    <row r="2901" spans="1:1">
      <c r="A2901" s="5" t="s">
        <v>268</v>
      </c>
    </row>
    <row r="2902" spans="1:1">
      <c r="A2902" s="5" t="s">
        <v>269</v>
      </c>
    </row>
    <row r="2903" spans="1:1">
      <c r="A2903" s="6"/>
    </row>
    <row r="2904" spans="1:1">
      <c r="A2904" s="6"/>
    </row>
    <row r="2905" spans="1:1">
      <c r="A2905" s="5" t="s">
        <v>3</v>
      </c>
    </row>
    <row r="2906" spans="1:1">
      <c r="A2906" s="5" t="s">
        <v>4</v>
      </c>
    </row>
    <row r="2907" spans="1:1">
      <c r="A2907" s="5" t="s">
        <v>5</v>
      </c>
    </row>
    <row r="2908" spans="1:1">
      <c r="A2908" s="5" t="s">
        <v>6</v>
      </c>
    </row>
    <row r="2909" spans="1:1">
      <c r="A2909" s="5" t="s">
        <v>7</v>
      </c>
    </row>
    <row r="2910" spans="1:1">
      <c r="A2910" s="5" t="s">
        <v>6</v>
      </c>
    </row>
    <row r="2911" spans="1:1">
      <c r="A2911" s="5" t="s">
        <v>279</v>
      </c>
    </row>
    <row r="2912" spans="1:1">
      <c r="A2912" s="5" t="s">
        <v>280</v>
      </c>
    </row>
    <row r="2913" spans="1:1">
      <c r="A2913" s="6"/>
    </row>
    <row r="2914" spans="1:1">
      <c r="A2914" s="5" t="s">
        <v>281</v>
      </c>
    </row>
    <row r="2915" spans="1:1">
      <c r="A2915" s="5" t="s">
        <v>282</v>
      </c>
    </row>
    <row r="2916" spans="1:1">
      <c r="A2916" s="5" t="s">
        <v>283</v>
      </c>
    </row>
    <row r="2917" spans="1:1">
      <c r="A2917" s="5" t="s">
        <v>119</v>
      </c>
    </row>
    <row r="2918" spans="1:1">
      <c r="A2918" s="5" t="s">
        <v>6</v>
      </c>
    </row>
    <row r="2919" spans="1:1">
      <c r="A2919" s="5" t="s">
        <v>284</v>
      </c>
    </row>
    <row r="2920" spans="1:1">
      <c r="A2920" s="5" t="s">
        <v>52</v>
      </c>
    </row>
    <row r="2921" spans="1:1">
      <c r="A2921" s="5" t="s">
        <v>285</v>
      </c>
    </row>
    <row r="2922" spans="1:1">
      <c r="A2922" s="6"/>
    </row>
    <row r="2923" spans="1:1">
      <c r="A2923" s="5" t="s">
        <v>18</v>
      </c>
    </row>
    <row r="2924" spans="1:1">
      <c r="A2924" s="7">
        <v>30000</v>
      </c>
    </row>
    <row r="2925" spans="1:1">
      <c r="A2925" s="6"/>
    </row>
    <row r="2926" spans="1:1">
      <c r="A2926" s="5" t="s">
        <v>19</v>
      </c>
    </row>
    <row r="2927" spans="1:1">
      <c r="A2927" s="5" t="s">
        <v>20</v>
      </c>
    </row>
    <row r="2928" spans="1:1">
      <c r="A2928" s="5" t="s">
        <v>21</v>
      </c>
    </row>
    <row r="2929" spans="1:1">
      <c r="A2929" s="5" t="s">
        <v>22</v>
      </c>
    </row>
    <row r="2930" spans="1:1">
      <c r="A2930" s="5" t="s">
        <v>23</v>
      </c>
    </row>
    <row r="2931" spans="1:1">
      <c r="A2931" s="5" t="s">
        <v>24</v>
      </c>
    </row>
    <row r="2932" spans="1:1">
      <c r="A2932" s="5" t="s">
        <v>25</v>
      </c>
    </row>
    <row r="2933" spans="1:1">
      <c r="A2933" s="5" t="s">
        <v>26</v>
      </c>
    </row>
    <row r="2934" spans="1:1">
      <c r="A2934" s="5" t="s">
        <v>27</v>
      </c>
    </row>
    <row r="2935" spans="1:1">
      <c r="A2935" s="5" t="s">
        <v>6</v>
      </c>
    </row>
    <row r="2936" spans="1:1">
      <c r="A2936" s="5" t="s">
        <v>28</v>
      </c>
    </row>
    <row r="2937" spans="1:1">
      <c r="A2937" s="5" t="s">
        <v>29</v>
      </c>
    </row>
    <row r="2938" spans="1:1">
      <c r="A2938" s="6"/>
    </row>
    <row r="2939" spans="1:1">
      <c r="A2939" s="6"/>
    </row>
    <row r="2940" spans="1:1">
      <c r="A2940" s="5" t="s">
        <v>6</v>
      </c>
    </row>
    <row r="2941" spans="1:1">
      <c r="A2941" s="5" t="s">
        <v>30</v>
      </c>
    </row>
    <row r="2942" spans="1:1">
      <c r="A2942" s="6"/>
    </row>
    <row r="2943" spans="1:1">
      <c r="A2943" s="5" t="s">
        <v>31</v>
      </c>
    </row>
    <row r="2944" spans="1:1">
      <c r="A2944" s="5" t="s">
        <v>32</v>
      </c>
    </row>
    <row r="2945" spans="1:1">
      <c r="A2945" s="5" t="s">
        <v>33</v>
      </c>
    </row>
    <row r="2946" spans="1:1">
      <c r="A2946" s="5" t="s">
        <v>34</v>
      </c>
    </row>
    <row r="2947" spans="1:1">
      <c r="A2947" s="5" t="s">
        <v>35</v>
      </c>
    </row>
    <row r="2948" spans="1:1">
      <c r="A2948" s="5" t="s">
        <v>36</v>
      </c>
    </row>
    <row r="2949" spans="1:1">
      <c r="A2949" s="5" t="s">
        <v>37</v>
      </c>
    </row>
    <row r="2950" spans="1:1">
      <c r="A2950" s="5" t="s">
        <v>38</v>
      </c>
    </row>
    <row r="2951" spans="1:1">
      <c r="A2951" s="5" t="s">
        <v>39</v>
      </c>
    </row>
    <row r="2952" spans="1:1">
      <c r="A2952" s="6"/>
    </row>
    <row r="2953" spans="1:1">
      <c r="A2953" s="5" t="s">
        <v>279</v>
      </c>
    </row>
    <row r="2954" spans="1:1">
      <c r="A2954" s="5" t="s">
        <v>280</v>
      </c>
    </row>
    <row r="2955" spans="1:1">
      <c r="A2955" s="6"/>
    </row>
    <row r="2956" spans="1:1">
      <c r="A2956" s="6"/>
    </row>
    <row r="2957" spans="1:1">
      <c r="A2957" s="6"/>
    </row>
    <row r="2958" spans="1:1">
      <c r="A2958" s="6"/>
    </row>
    <row r="2959" spans="1:1">
      <c r="A2959" s="5" t="s">
        <v>6</v>
      </c>
    </row>
    <row r="2960" spans="1:1">
      <c r="A2960" s="5" t="s">
        <v>40</v>
      </c>
    </row>
    <row r="2961" spans="1:1">
      <c r="A2961" s="6"/>
    </row>
    <row r="2962" spans="1:1">
      <c r="A2962" s="5" t="s">
        <v>41</v>
      </c>
    </row>
    <row r="2963" spans="1:1">
      <c r="A2963" s="6"/>
    </row>
    <row r="2964" spans="1:1">
      <c r="A2964" s="5" t="s">
        <v>42</v>
      </c>
    </row>
    <row r="2965" spans="1:1">
      <c r="A2965" s="6"/>
    </row>
    <row r="2966" spans="1:1">
      <c r="A2966" s="5" t="s">
        <v>43</v>
      </c>
    </row>
    <row r="2967" spans="1:1">
      <c r="A2967" s="5" t="s">
        <v>44</v>
      </c>
    </row>
    <row r="2968" spans="1:1">
      <c r="A2968" s="5" t="s">
        <v>45</v>
      </c>
    </row>
    <row r="2969" spans="1:1">
      <c r="A2969" s="5" t="s">
        <v>46</v>
      </c>
    </row>
    <row r="2970" spans="1:1">
      <c r="A2970" s="5" t="s">
        <v>47</v>
      </c>
    </row>
    <row r="2971" spans="1:1">
      <c r="A2971" s="5" t="s">
        <v>37</v>
      </c>
    </row>
    <row r="2972" spans="1:1">
      <c r="A2972" s="6"/>
    </row>
    <row r="2973" spans="1:1">
      <c r="A2973" s="5" t="s">
        <v>279</v>
      </c>
    </row>
    <row r="2974" spans="1:1">
      <c r="A2974" s="5" t="s">
        <v>280</v>
      </c>
    </row>
    <row r="2975" spans="1:1">
      <c r="A2975" s="6"/>
    </row>
    <row r="2976" spans="1:1">
      <c r="A2976" s="6"/>
    </row>
    <row r="2977" spans="1:1">
      <c r="A2977" s="5" t="s">
        <v>3</v>
      </c>
    </row>
    <row r="2978" spans="1:1">
      <c r="A2978" s="5" t="s">
        <v>4</v>
      </c>
    </row>
    <row r="2979" spans="1:1">
      <c r="A2979" s="5" t="s">
        <v>5</v>
      </c>
    </row>
    <row r="2980" spans="1:1">
      <c r="A2980" s="5" t="s">
        <v>6</v>
      </c>
    </row>
    <row r="2981" spans="1:1">
      <c r="A2981" s="5" t="s">
        <v>7</v>
      </c>
    </row>
    <row r="2982" spans="1:1">
      <c r="A2982" s="5" t="s">
        <v>6</v>
      </c>
    </row>
    <row r="2983" spans="1:1">
      <c r="A2983" s="5" t="s">
        <v>286</v>
      </c>
    </row>
    <row r="2984" spans="1:1">
      <c r="A2984" s="5" t="s">
        <v>287</v>
      </c>
    </row>
    <row r="2985" spans="1:1">
      <c r="A2985" s="6"/>
    </row>
    <row r="2986" spans="1:1">
      <c r="A2986" s="5" t="s">
        <v>109</v>
      </c>
    </row>
    <row r="2987" spans="1:1">
      <c r="A2987" s="5" t="s">
        <v>103</v>
      </c>
    </row>
    <row r="2988" spans="1:1">
      <c r="A2988" s="5" t="s">
        <v>6</v>
      </c>
    </row>
    <row r="2989" spans="1:1">
      <c r="A2989" s="5" t="s">
        <v>110</v>
      </c>
    </row>
    <row r="2990" spans="1:1">
      <c r="A2990" s="5" t="s">
        <v>17</v>
      </c>
    </row>
    <row r="2991" spans="1:1">
      <c r="A2991" s="5" t="s">
        <v>111</v>
      </c>
    </row>
    <row r="2992" spans="1:1">
      <c r="A2992" s="6"/>
    </row>
    <row r="2993" spans="1:1">
      <c r="A2993" s="5" t="s">
        <v>19</v>
      </c>
    </row>
    <row r="2994" spans="1:1">
      <c r="A2994" s="5" t="s">
        <v>20</v>
      </c>
    </row>
    <row r="2995" spans="1:1">
      <c r="A2995" s="5" t="s">
        <v>21</v>
      </c>
    </row>
    <row r="2996" spans="1:1">
      <c r="A2996" s="5" t="s">
        <v>22</v>
      </c>
    </row>
    <row r="2997" spans="1:1">
      <c r="A2997" s="5" t="s">
        <v>23</v>
      </c>
    </row>
    <row r="2998" spans="1:1">
      <c r="A2998" s="5" t="s">
        <v>24</v>
      </c>
    </row>
    <row r="2999" spans="1:1">
      <c r="A2999" s="5" t="s">
        <v>25</v>
      </c>
    </row>
    <row r="3000" spans="1:1">
      <c r="A3000" s="5" t="s">
        <v>26</v>
      </c>
    </row>
    <row r="3001" spans="1:1">
      <c r="A3001" s="5" t="s">
        <v>27</v>
      </c>
    </row>
    <row r="3002" spans="1:1">
      <c r="A3002" s="5" t="s">
        <v>6</v>
      </c>
    </row>
    <row r="3003" spans="1:1">
      <c r="A3003" s="5" t="s">
        <v>28</v>
      </c>
    </row>
    <row r="3004" spans="1:1">
      <c r="A3004" s="5" t="s">
        <v>29</v>
      </c>
    </row>
    <row r="3005" spans="1:1">
      <c r="A3005" s="6"/>
    </row>
    <row r="3006" spans="1:1">
      <c r="A3006" s="6"/>
    </row>
    <row r="3007" spans="1:1">
      <c r="A3007" s="5" t="s">
        <v>6</v>
      </c>
    </row>
    <row r="3008" spans="1:1">
      <c r="A3008" s="5" t="s">
        <v>30</v>
      </c>
    </row>
    <row r="3009" spans="1:1">
      <c r="A3009" s="6"/>
    </row>
    <row r="3010" spans="1:1">
      <c r="A3010" s="5" t="s">
        <v>31</v>
      </c>
    </row>
    <row r="3011" spans="1:1">
      <c r="A3011" s="5" t="s">
        <v>32</v>
      </c>
    </row>
    <row r="3012" spans="1:1">
      <c r="A3012" s="5" t="s">
        <v>33</v>
      </c>
    </row>
    <row r="3013" spans="1:1">
      <c r="A3013" s="5" t="s">
        <v>34</v>
      </c>
    </row>
    <row r="3014" spans="1:1">
      <c r="A3014" s="5" t="s">
        <v>35</v>
      </c>
    </row>
    <row r="3015" spans="1:1">
      <c r="A3015" s="5" t="s">
        <v>36</v>
      </c>
    </row>
    <row r="3016" spans="1:1">
      <c r="A3016" s="5" t="s">
        <v>37</v>
      </c>
    </row>
    <row r="3017" spans="1:1">
      <c r="A3017" s="5" t="s">
        <v>38</v>
      </c>
    </row>
    <row r="3018" spans="1:1">
      <c r="A3018" s="5" t="s">
        <v>39</v>
      </c>
    </row>
    <row r="3019" spans="1:1">
      <c r="A3019" s="6"/>
    </row>
    <row r="3020" spans="1:1">
      <c r="A3020" s="5" t="s">
        <v>286</v>
      </c>
    </row>
    <row r="3021" spans="1:1">
      <c r="A3021" s="5" t="s">
        <v>287</v>
      </c>
    </row>
    <row r="3022" spans="1:1">
      <c r="A3022" s="6"/>
    </row>
    <row r="3023" spans="1:1">
      <c r="A3023" s="6"/>
    </row>
    <row r="3024" spans="1:1">
      <c r="A3024" s="5" t="s">
        <v>3</v>
      </c>
    </row>
    <row r="3025" spans="1:1">
      <c r="A3025" s="5" t="s">
        <v>4</v>
      </c>
    </row>
    <row r="3026" spans="1:1">
      <c r="A3026" s="5" t="s">
        <v>5</v>
      </c>
    </row>
    <row r="3027" spans="1:1">
      <c r="A3027" s="5" t="s">
        <v>6</v>
      </c>
    </row>
    <row r="3028" spans="1:1">
      <c r="A3028" s="5" t="s">
        <v>7</v>
      </c>
    </row>
    <row r="3029" spans="1:1">
      <c r="A3029" s="5" t="s">
        <v>6</v>
      </c>
    </row>
    <row r="3030" spans="1:1">
      <c r="A3030" s="5" t="s">
        <v>288</v>
      </c>
    </row>
    <row r="3031" spans="1:1">
      <c r="A3031" s="5" t="s">
        <v>289</v>
      </c>
    </row>
    <row r="3032" spans="1:1">
      <c r="A3032" s="6"/>
    </row>
    <row r="3033" spans="1:1">
      <c r="A3033" s="5" t="s">
        <v>290</v>
      </c>
    </row>
    <row r="3034" spans="1:1">
      <c r="A3034" s="5" t="s">
        <v>162</v>
      </c>
    </row>
    <row r="3035" spans="1:1">
      <c r="A3035" s="5" t="s">
        <v>291</v>
      </c>
    </row>
    <row r="3036" spans="1:1">
      <c r="A3036" s="5" t="s">
        <v>164</v>
      </c>
    </row>
    <row r="3037" spans="1:1">
      <c r="A3037" s="5" t="s">
        <v>292</v>
      </c>
    </row>
    <row r="3038" spans="1:1">
      <c r="A3038" s="5" t="s">
        <v>293</v>
      </c>
    </row>
    <row r="3039" spans="1:1">
      <c r="A3039" s="5" t="s">
        <v>294</v>
      </c>
    </row>
    <row r="3040" spans="1:1">
      <c r="A3040" s="5" t="s">
        <v>295</v>
      </c>
    </row>
    <row r="3041" spans="1:1">
      <c r="A3041" s="5" t="s">
        <v>103</v>
      </c>
    </row>
    <row r="3042" spans="1:1">
      <c r="A3042" s="5" t="s">
        <v>165</v>
      </c>
    </row>
    <row r="3043" spans="1:1">
      <c r="A3043" s="5" t="s">
        <v>237</v>
      </c>
    </row>
    <row r="3044" spans="1:1">
      <c r="A3044" s="5" t="s">
        <v>232</v>
      </c>
    </row>
    <row r="3045" spans="1:1">
      <c r="A3045" s="5" t="s">
        <v>233</v>
      </c>
    </row>
    <row r="3046" spans="1:1">
      <c r="A3046" s="5" t="s">
        <v>6</v>
      </c>
    </row>
    <row r="3047" spans="1:1">
      <c r="A3047" s="5" t="s">
        <v>296</v>
      </c>
    </row>
    <row r="3048" spans="1:1">
      <c r="A3048" s="5" t="s">
        <v>297</v>
      </c>
    </row>
    <row r="3049" spans="1:1">
      <c r="A3049" s="5" t="s">
        <v>298</v>
      </c>
    </row>
    <row r="3050" spans="1:1">
      <c r="A3050" s="5" t="s">
        <v>218</v>
      </c>
    </row>
    <row r="3051" spans="1:1">
      <c r="A3051" s="6"/>
    </row>
    <row r="3052" spans="1:1">
      <c r="A3052" s="5" t="s">
        <v>18</v>
      </c>
    </row>
    <row r="3053" spans="1:1">
      <c r="A3053" s="7">
        <v>525240</v>
      </c>
    </row>
    <row r="3054" spans="1:1">
      <c r="A3054" s="6"/>
    </row>
    <row r="3055" spans="1:1">
      <c r="A3055" s="5" t="s">
        <v>19</v>
      </c>
    </row>
    <row r="3056" spans="1:1">
      <c r="A3056" s="5" t="s">
        <v>20</v>
      </c>
    </row>
    <row r="3057" spans="1:1">
      <c r="A3057" s="5" t="s">
        <v>21</v>
      </c>
    </row>
    <row r="3058" spans="1:1">
      <c r="A3058" s="5" t="s">
        <v>22</v>
      </c>
    </row>
    <row r="3059" spans="1:1">
      <c r="A3059" s="5" t="s">
        <v>23</v>
      </c>
    </row>
    <row r="3060" spans="1:1">
      <c r="A3060" s="5" t="s">
        <v>24</v>
      </c>
    </row>
    <row r="3061" spans="1:1">
      <c r="A3061" s="5" t="s">
        <v>25</v>
      </c>
    </row>
    <row r="3062" spans="1:1">
      <c r="A3062" s="5" t="s">
        <v>26</v>
      </c>
    </row>
    <row r="3063" spans="1:1">
      <c r="A3063" s="5" t="s">
        <v>27</v>
      </c>
    </row>
    <row r="3064" spans="1:1">
      <c r="A3064" s="5" t="s">
        <v>6</v>
      </c>
    </row>
    <row r="3065" spans="1:1">
      <c r="A3065" s="5" t="s">
        <v>28</v>
      </c>
    </row>
    <row r="3066" spans="1:1">
      <c r="A3066" s="5" t="s">
        <v>29</v>
      </c>
    </row>
    <row r="3067" spans="1:1">
      <c r="A3067" s="6"/>
    </row>
    <row r="3068" spans="1:1">
      <c r="A3068" s="6"/>
    </row>
    <row r="3069" spans="1:1">
      <c r="A3069" s="5" t="s">
        <v>6</v>
      </c>
    </row>
    <row r="3070" spans="1:1">
      <c r="A3070" s="5" t="s">
        <v>30</v>
      </c>
    </row>
    <row r="3071" spans="1:1">
      <c r="A3071" s="6"/>
    </row>
    <row r="3072" spans="1:1">
      <c r="A3072" s="5" t="s">
        <v>31</v>
      </c>
    </row>
    <row r="3073" spans="1:1">
      <c r="A3073" s="5" t="s">
        <v>32</v>
      </c>
    </row>
    <row r="3074" spans="1:1">
      <c r="A3074" s="5" t="s">
        <v>33</v>
      </c>
    </row>
    <row r="3075" spans="1:1">
      <c r="A3075" s="5" t="s">
        <v>34</v>
      </c>
    </row>
    <row r="3076" spans="1:1">
      <c r="A3076" s="5" t="s">
        <v>35</v>
      </c>
    </row>
    <row r="3077" spans="1:1">
      <c r="A3077" s="5" t="s">
        <v>36</v>
      </c>
    </row>
    <row r="3078" spans="1:1">
      <c r="A3078" s="5" t="s">
        <v>37</v>
      </c>
    </row>
    <row r="3079" spans="1:1">
      <c r="A3079" s="5" t="s">
        <v>38</v>
      </c>
    </row>
    <row r="3080" spans="1:1">
      <c r="A3080" s="5" t="s">
        <v>39</v>
      </c>
    </row>
    <row r="3081" spans="1:1">
      <c r="A3081" s="6"/>
    </row>
    <row r="3082" spans="1:1">
      <c r="A3082" s="5" t="s">
        <v>288</v>
      </c>
    </row>
    <row r="3083" spans="1:1">
      <c r="A3083" s="5" t="s">
        <v>289</v>
      </c>
    </row>
    <row r="3084" spans="1:1">
      <c r="A3084" s="6"/>
    </row>
    <row r="3085" spans="1:1">
      <c r="A3085" s="6"/>
    </row>
    <row r="3086" spans="1:1">
      <c r="A3086" s="6"/>
    </row>
    <row r="3087" spans="1:1">
      <c r="A3087" s="6"/>
    </row>
    <row r="3088" spans="1:1">
      <c r="A3088" s="5" t="s">
        <v>6</v>
      </c>
    </row>
    <row r="3089" spans="1:1">
      <c r="A3089" s="5" t="s">
        <v>40</v>
      </c>
    </row>
    <row r="3090" spans="1:1">
      <c r="A3090" s="6"/>
    </row>
    <row r="3091" spans="1:1">
      <c r="A3091" s="5" t="s">
        <v>41</v>
      </c>
    </row>
    <row r="3092" spans="1:1">
      <c r="A3092" s="6"/>
    </row>
    <row r="3093" spans="1:1">
      <c r="A3093" s="5" t="s">
        <v>42</v>
      </c>
    </row>
    <row r="3094" spans="1:1">
      <c r="A3094" s="6"/>
    </row>
    <row r="3095" spans="1:1">
      <c r="A3095" s="5" t="s">
        <v>43</v>
      </c>
    </row>
    <row r="3096" spans="1:1">
      <c r="A3096" s="5" t="s">
        <v>44</v>
      </c>
    </row>
    <row r="3097" spans="1:1">
      <c r="A3097" s="5" t="s">
        <v>45</v>
      </c>
    </row>
    <row r="3098" spans="1:1">
      <c r="A3098" s="5" t="s">
        <v>46</v>
      </c>
    </row>
    <row r="3099" spans="1:1">
      <c r="A3099" s="5" t="s">
        <v>47</v>
      </c>
    </row>
    <row r="3100" spans="1:1">
      <c r="A3100" s="5" t="s">
        <v>37</v>
      </c>
    </row>
    <row r="3101" spans="1:1">
      <c r="A3101" s="6"/>
    </row>
    <row r="3102" spans="1:1">
      <c r="A3102" s="5" t="s">
        <v>288</v>
      </c>
    </row>
    <row r="3103" spans="1:1">
      <c r="A3103" s="5" t="s">
        <v>289</v>
      </c>
    </row>
    <row r="3104" spans="1:1">
      <c r="A3104" s="6"/>
    </row>
    <row r="3105" spans="1:1">
      <c r="A3105" s="6"/>
    </row>
    <row r="3106" spans="1:1">
      <c r="A3106" s="5" t="s">
        <v>6</v>
      </c>
    </row>
    <row r="3107" spans="1:1">
      <c r="A3107" s="5" t="s">
        <v>299</v>
      </c>
    </row>
    <row r="3108" spans="1:1">
      <c r="A3108" s="5" t="s">
        <v>300</v>
      </c>
    </row>
    <row r="3109" spans="1:1">
      <c r="A3109" s="5" t="s">
        <v>301</v>
      </c>
    </row>
    <row r="3110" spans="1:1">
      <c r="A3110" s="5" t="s">
        <v>302</v>
      </c>
    </row>
    <row r="3111" spans="1:1">
      <c r="A3111" s="5" t="s">
        <v>288</v>
      </c>
    </row>
    <row r="3112" spans="1:1">
      <c r="A3112" s="5" t="s">
        <v>289</v>
      </c>
    </row>
    <row r="3113" spans="1:1">
      <c r="A3113" s="6"/>
    </row>
    <row r="3114" spans="1:1">
      <c r="A3114" s="5" t="s">
        <v>303</v>
      </c>
    </row>
    <row r="3115" spans="1:1">
      <c r="A3115" s="5" t="s">
        <v>32</v>
      </c>
    </row>
    <row r="3116" spans="1:1">
      <c r="A3116" s="5" t="s">
        <v>304</v>
      </c>
    </row>
    <row r="3117" spans="1:1">
      <c r="A3117" s="5" t="s">
        <v>305</v>
      </c>
    </row>
    <row r="3118" spans="1:1">
      <c r="A3118" s="5" t="s">
        <v>306</v>
      </c>
    </row>
    <row r="3119" spans="1:1">
      <c r="A3119" s="5" t="s">
        <v>307</v>
      </c>
    </row>
    <row r="3120" spans="1:1">
      <c r="A3120" s="5" t="s">
        <v>308</v>
      </c>
    </row>
    <row r="3121" spans="1:1">
      <c r="A3121" s="5" t="s">
        <v>309</v>
      </c>
    </row>
    <row r="3122" spans="1:1">
      <c r="A3122" s="5" t="s">
        <v>37</v>
      </c>
    </row>
    <row r="3123" spans="1:1">
      <c r="A3123" s="5" t="s">
        <v>3</v>
      </c>
    </row>
    <row r="3124" spans="1:1">
      <c r="A3124" s="5" t="s">
        <v>4</v>
      </c>
    </row>
    <row r="3125" spans="1:1">
      <c r="A3125" s="5" t="s">
        <v>5</v>
      </c>
    </row>
    <row r="3126" spans="1:1">
      <c r="A3126" s="5" t="s">
        <v>6</v>
      </c>
    </row>
    <row r="3127" spans="1:1">
      <c r="A3127" s="5" t="s">
        <v>7</v>
      </c>
    </row>
    <row r="3128" spans="1:1">
      <c r="A3128" s="5" t="s">
        <v>6</v>
      </c>
    </row>
    <row r="3129" spans="1:1">
      <c r="A3129" s="5" t="s">
        <v>310</v>
      </c>
    </row>
    <row r="3130" spans="1:1">
      <c r="A3130" s="5" t="s">
        <v>311</v>
      </c>
    </row>
    <row r="3131" spans="1:1">
      <c r="A3131" s="6"/>
    </row>
    <row r="3132" spans="1:1">
      <c r="A3132" s="5" t="s">
        <v>106</v>
      </c>
    </row>
    <row r="3133" spans="1:1">
      <c r="A3133" s="5" t="s">
        <v>103</v>
      </c>
    </row>
    <row r="3134" spans="1:1">
      <c r="A3134" s="5" t="s">
        <v>6</v>
      </c>
    </row>
    <row r="3135" spans="1:1">
      <c r="A3135" s="5" t="s">
        <v>91</v>
      </c>
    </row>
    <row r="3136" spans="1:1">
      <c r="A3136" s="5" t="s">
        <v>63</v>
      </c>
    </row>
    <row r="3137" spans="1:1">
      <c r="A3137" s="5" t="s">
        <v>92</v>
      </c>
    </row>
    <row r="3138" spans="1:1">
      <c r="A3138" s="6"/>
    </row>
    <row r="3139" spans="1:1">
      <c r="A3139" s="5" t="s">
        <v>19</v>
      </c>
    </row>
    <row r="3140" spans="1:1">
      <c r="A3140" s="5" t="s">
        <v>20</v>
      </c>
    </row>
    <row r="3141" spans="1:1">
      <c r="A3141" s="5" t="s">
        <v>21</v>
      </c>
    </row>
    <row r="3142" spans="1:1">
      <c r="A3142" s="5" t="s">
        <v>22</v>
      </c>
    </row>
    <row r="3143" spans="1:1">
      <c r="A3143" s="5" t="s">
        <v>23</v>
      </c>
    </row>
    <row r="3144" spans="1:1">
      <c r="A3144" s="5" t="s">
        <v>24</v>
      </c>
    </row>
    <row r="3145" spans="1:1">
      <c r="A3145" s="5" t="s">
        <v>25</v>
      </c>
    </row>
    <row r="3146" spans="1:1">
      <c r="A3146" s="5" t="s">
        <v>26</v>
      </c>
    </row>
    <row r="3147" spans="1:1">
      <c r="A3147" s="5" t="s">
        <v>27</v>
      </c>
    </row>
    <row r="3148" spans="1:1">
      <c r="A3148" s="5" t="s">
        <v>6</v>
      </c>
    </row>
    <row r="3149" spans="1:1">
      <c r="A3149" s="5" t="s">
        <v>28</v>
      </c>
    </row>
    <row r="3150" spans="1:1">
      <c r="A3150" s="5" t="s">
        <v>29</v>
      </c>
    </row>
    <row r="3151" spans="1:1">
      <c r="A3151" s="6"/>
    </row>
    <row r="3152" spans="1:1">
      <c r="A3152" s="6"/>
    </row>
    <row r="3153" spans="1:1">
      <c r="A3153" s="5" t="s">
        <v>6</v>
      </c>
    </row>
    <row r="3154" spans="1:1">
      <c r="A3154" s="5" t="s">
        <v>30</v>
      </c>
    </row>
    <row r="3155" spans="1:1">
      <c r="A3155" s="6"/>
    </row>
    <row r="3156" spans="1:1">
      <c r="A3156" s="5" t="s">
        <v>31</v>
      </c>
    </row>
    <row r="3157" spans="1:1">
      <c r="A3157" s="5" t="s">
        <v>32</v>
      </c>
    </row>
    <row r="3158" spans="1:1">
      <c r="A3158" s="5" t="s">
        <v>33</v>
      </c>
    </row>
    <row r="3159" spans="1:1">
      <c r="A3159" s="5" t="s">
        <v>34</v>
      </c>
    </row>
    <row r="3160" spans="1:1">
      <c r="A3160" s="5" t="s">
        <v>35</v>
      </c>
    </row>
    <row r="3161" spans="1:1">
      <c r="A3161" s="5" t="s">
        <v>36</v>
      </c>
    </row>
    <row r="3162" spans="1:1">
      <c r="A3162" s="5" t="s">
        <v>37</v>
      </c>
    </row>
    <row r="3163" spans="1:1">
      <c r="A3163" s="5" t="s">
        <v>38</v>
      </c>
    </row>
    <row r="3164" spans="1:1">
      <c r="A3164" s="5" t="s">
        <v>39</v>
      </c>
    </row>
    <row r="3165" spans="1:1">
      <c r="A3165" s="6"/>
    </row>
    <row r="3166" spans="1:1">
      <c r="A3166" s="5" t="s">
        <v>310</v>
      </c>
    </row>
    <row r="3167" spans="1:1">
      <c r="A3167" s="5" t="s">
        <v>311</v>
      </c>
    </row>
    <row r="3168" spans="1:1">
      <c r="A3168" s="6"/>
    </row>
    <row r="3169" spans="1:1">
      <c r="A3169" s="6"/>
    </row>
    <row r="3170" spans="1:1">
      <c r="A3170" s="6"/>
    </row>
    <row r="3171" spans="1:1">
      <c r="A3171" s="6"/>
    </row>
    <row r="3172" spans="1:1">
      <c r="A3172" s="5" t="s">
        <v>6</v>
      </c>
    </row>
    <row r="3173" spans="1:1">
      <c r="A3173" s="5" t="s">
        <v>40</v>
      </c>
    </row>
    <row r="3174" spans="1:1">
      <c r="A3174" s="6"/>
    </row>
    <row r="3175" spans="1:1">
      <c r="A3175" s="5" t="s">
        <v>41</v>
      </c>
    </row>
    <row r="3176" spans="1:1">
      <c r="A3176" s="6"/>
    </row>
    <row r="3177" spans="1:1">
      <c r="A3177" s="5" t="s">
        <v>42</v>
      </c>
    </row>
    <row r="3178" spans="1:1">
      <c r="A3178" s="6"/>
    </row>
    <row r="3179" spans="1:1">
      <c r="A3179" s="5" t="s">
        <v>43</v>
      </c>
    </row>
    <row r="3180" spans="1:1">
      <c r="A3180" s="5" t="s">
        <v>44</v>
      </c>
    </row>
    <row r="3181" spans="1:1">
      <c r="A3181" s="5" t="s">
        <v>45</v>
      </c>
    </row>
    <row r="3182" spans="1:1">
      <c r="A3182" s="5" t="s">
        <v>46</v>
      </c>
    </row>
    <row r="3183" spans="1:1">
      <c r="A3183" s="5" t="s">
        <v>47</v>
      </c>
    </row>
    <row r="3184" spans="1:1">
      <c r="A3184" s="5" t="s">
        <v>37</v>
      </c>
    </row>
    <row r="3185" spans="1:1">
      <c r="A3185" s="6"/>
    </row>
    <row r="3186" spans="1:1">
      <c r="A3186" s="5" t="s">
        <v>310</v>
      </c>
    </row>
    <row r="3187" spans="1:1">
      <c r="A3187" s="5" t="s">
        <v>311</v>
      </c>
    </row>
    <row r="3188" spans="1:1">
      <c r="A3188" s="6"/>
    </row>
    <row r="3189" spans="1:1">
      <c r="A3189" s="6"/>
    </row>
    <row r="3190" spans="1:1">
      <c r="A3190" s="5" t="s">
        <v>3</v>
      </c>
    </row>
    <row r="3191" spans="1:1">
      <c r="A3191" s="5" t="s">
        <v>4</v>
      </c>
    </row>
    <row r="3192" spans="1:1">
      <c r="A3192" s="5" t="s">
        <v>5</v>
      </c>
    </row>
    <row r="3193" spans="1:1">
      <c r="A3193" s="5" t="s">
        <v>6</v>
      </c>
    </row>
    <row r="3194" spans="1:1">
      <c r="A3194" s="5" t="s">
        <v>7</v>
      </c>
    </row>
    <row r="3195" spans="1:1">
      <c r="A3195" s="5" t="s">
        <v>6</v>
      </c>
    </row>
    <row r="3196" spans="1:1">
      <c r="A3196" s="5" t="s">
        <v>312</v>
      </c>
    </row>
    <row r="3197" spans="1:1">
      <c r="A3197" s="5" t="s">
        <v>313</v>
      </c>
    </row>
    <row r="3198" spans="1:1">
      <c r="A3198" s="6"/>
    </row>
    <row r="3199" spans="1:1">
      <c r="A3199" s="5" t="s">
        <v>281</v>
      </c>
    </row>
    <row r="3200" spans="1:1">
      <c r="A3200" s="5" t="s">
        <v>282</v>
      </c>
    </row>
    <row r="3201" spans="1:1">
      <c r="A3201" s="5" t="s">
        <v>283</v>
      </c>
    </row>
    <row r="3202" spans="1:1">
      <c r="A3202" s="5" t="s">
        <v>103</v>
      </c>
    </row>
    <row r="3203" spans="1:1">
      <c r="A3203" s="5" t="s">
        <v>6</v>
      </c>
    </row>
    <row r="3204" spans="1:1">
      <c r="A3204" s="5" t="s">
        <v>284</v>
      </c>
    </row>
    <row r="3205" spans="1:1">
      <c r="A3205" s="5" t="s">
        <v>314</v>
      </c>
    </row>
    <row r="3206" spans="1:1">
      <c r="A3206" s="6"/>
    </row>
    <row r="3207" spans="1:1">
      <c r="A3207" s="5" t="s">
        <v>18</v>
      </c>
    </row>
    <row r="3208" spans="1:1">
      <c r="A3208" s="7">
        <v>30000</v>
      </c>
    </row>
    <row r="3209" spans="1:1">
      <c r="A3209" s="6"/>
    </row>
    <row r="3210" spans="1:1">
      <c r="A3210" s="5" t="s">
        <v>19</v>
      </c>
    </row>
    <row r="3211" spans="1:1">
      <c r="A3211" s="5" t="s">
        <v>20</v>
      </c>
    </row>
    <row r="3212" spans="1:1">
      <c r="A3212" s="5" t="s">
        <v>21</v>
      </c>
    </row>
    <row r="3213" spans="1:1">
      <c r="A3213" s="5" t="s">
        <v>22</v>
      </c>
    </row>
    <row r="3214" spans="1:1">
      <c r="A3214" s="5" t="s">
        <v>23</v>
      </c>
    </row>
    <row r="3215" spans="1:1">
      <c r="A3215" s="5" t="s">
        <v>24</v>
      </c>
    </row>
    <row r="3216" spans="1:1">
      <c r="A3216" s="5" t="s">
        <v>25</v>
      </c>
    </row>
    <row r="3217" spans="1:1">
      <c r="A3217" s="5" t="s">
        <v>26</v>
      </c>
    </row>
    <row r="3218" spans="1:1">
      <c r="A3218" s="5" t="s">
        <v>27</v>
      </c>
    </row>
    <row r="3219" spans="1:1">
      <c r="A3219" s="5" t="s">
        <v>6</v>
      </c>
    </row>
    <row r="3220" spans="1:1">
      <c r="A3220" s="5" t="s">
        <v>28</v>
      </c>
    </row>
    <row r="3221" spans="1:1">
      <c r="A3221" s="5" t="s">
        <v>29</v>
      </c>
    </row>
    <row r="3222" spans="1:1">
      <c r="A3222" s="6"/>
    </row>
    <row r="3223" spans="1:1">
      <c r="A3223" s="6"/>
    </row>
    <row r="3224" spans="1:1">
      <c r="A3224" s="5" t="s">
        <v>6</v>
      </c>
    </row>
    <row r="3225" spans="1:1">
      <c r="A3225" s="5" t="s">
        <v>30</v>
      </c>
    </row>
    <row r="3226" spans="1:1">
      <c r="A3226" s="6"/>
    </row>
    <row r="3227" spans="1:1">
      <c r="A3227" s="5" t="s">
        <v>31</v>
      </c>
    </row>
    <row r="3228" spans="1:1">
      <c r="A3228" s="5" t="s">
        <v>32</v>
      </c>
    </row>
    <row r="3229" spans="1:1">
      <c r="A3229" s="5" t="s">
        <v>33</v>
      </c>
    </row>
    <row r="3230" spans="1:1">
      <c r="A3230" s="5" t="s">
        <v>34</v>
      </c>
    </row>
    <row r="3231" spans="1:1">
      <c r="A3231" s="5" t="s">
        <v>35</v>
      </c>
    </row>
    <row r="3232" spans="1:1">
      <c r="A3232" s="5" t="s">
        <v>36</v>
      </c>
    </row>
    <row r="3233" spans="1:1">
      <c r="A3233" s="5" t="s">
        <v>37</v>
      </c>
    </row>
    <row r="3234" spans="1:1">
      <c r="A3234" s="5" t="s">
        <v>38</v>
      </c>
    </row>
    <row r="3235" spans="1:1">
      <c r="A3235" s="5" t="s">
        <v>39</v>
      </c>
    </row>
    <row r="3236" spans="1:1">
      <c r="A3236" s="6"/>
    </row>
    <row r="3237" spans="1:1">
      <c r="A3237" s="5" t="s">
        <v>312</v>
      </c>
    </row>
    <row r="3238" spans="1:1">
      <c r="A3238" s="5" t="s">
        <v>313</v>
      </c>
    </row>
    <row r="3239" spans="1:1">
      <c r="A3239" s="6"/>
    </row>
    <row r="3240" spans="1:1">
      <c r="A3240" s="6"/>
    </row>
    <row r="3241" spans="1:1">
      <c r="A3241" s="6"/>
    </row>
    <row r="3242" spans="1:1">
      <c r="A3242" s="6"/>
    </row>
    <row r="3243" spans="1:1">
      <c r="A3243" s="5" t="s">
        <v>6</v>
      </c>
    </row>
    <row r="3244" spans="1:1">
      <c r="A3244" s="5" t="s">
        <v>40</v>
      </c>
    </row>
    <row r="3245" spans="1:1">
      <c r="A3245" s="6"/>
    </row>
    <row r="3246" spans="1:1">
      <c r="A3246" s="5" t="s">
        <v>41</v>
      </c>
    </row>
    <row r="3247" spans="1:1">
      <c r="A3247" s="6"/>
    </row>
    <row r="3248" spans="1:1">
      <c r="A3248" s="5" t="s">
        <v>42</v>
      </c>
    </row>
    <row r="3249" spans="1:1">
      <c r="A3249" s="6"/>
    </row>
    <row r="3250" spans="1:1">
      <c r="A3250" s="5" t="s">
        <v>43</v>
      </c>
    </row>
    <row r="3251" spans="1:1">
      <c r="A3251" s="5" t="s">
        <v>44</v>
      </c>
    </row>
    <row r="3252" spans="1:1">
      <c r="A3252" s="5" t="s">
        <v>45</v>
      </c>
    </row>
    <row r="3253" spans="1:1">
      <c r="A3253" s="5" t="s">
        <v>46</v>
      </c>
    </row>
    <row r="3254" spans="1:1">
      <c r="A3254" s="5" t="s">
        <v>47</v>
      </c>
    </row>
    <row r="3255" spans="1:1">
      <c r="A3255" s="5" t="s">
        <v>37</v>
      </c>
    </row>
    <row r="3256" spans="1:1">
      <c r="A3256" s="6"/>
    </row>
    <row r="3257" spans="1:1">
      <c r="A3257" s="5" t="s">
        <v>312</v>
      </c>
    </row>
    <row r="3258" spans="1:1">
      <c r="A3258" s="5" t="s">
        <v>313</v>
      </c>
    </row>
    <row r="3259" spans="1:1">
      <c r="A3259" s="6"/>
    </row>
    <row r="3260" spans="1:1">
      <c r="A3260" s="6"/>
    </row>
    <row r="3261" spans="1:1">
      <c r="A3261" s="5" t="s">
        <v>3</v>
      </c>
    </row>
    <row r="3262" spans="1:1">
      <c r="A3262" s="5" t="s">
        <v>4</v>
      </c>
    </row>
    <row r="3263" spans="1:1">
      <c r="A3263" s="5" t="s">
        <v>5</v>
      </c>
    </row>
    <row r="3264" spans="1:1">
      <c r="A3264" s="5" t="s">
        <v>6</v>
      </c>
    </row>
    <row r="3265" spans="1:1">
      <c r="A3265" s="5" t="s">
        <v>7</v>
      </c>
    </row>
    <row r="3266" spans="1:1">
      <c r="A3266" s="5" t="s">
        <v>6</v>
      </c>
    </row>
    <row r="3267" spans="1:1">
      <c r="A3267" s="5" t="s">
        <v>315</v>
      </c>
    </row>
    <row r="3268" spans="1:1">
      <c r="A3268" s="5" t="s">
        <v>316</v>
      </c>
    </row>
    <row r="3269" spans="1:1">
      <c r="A3269" s="6"/>
    </row>
    <row r="3270" spans="1:1">
      <c r="A3270" s="6"/>
    </row>
    <row r="3271" spans="1:1">
      <c r="A3271" s="5" t="s">
        <v>317</v>
      </c>
    </row>
    <row r="3272" spans="1:1">
      <c r="A3272" s="5" t="s">
        <v>318</v>
      </c>
    </row>
    <row r="3273" spans="1:1">
      <c r="A3273" s="5" t="s">
        <v>319</v>
      </c>
    </row>
    <row r="3274" spans="1:1">
      <c r="A3274" s="5" t="s">
        <v>320</v>
      </c>
    </row>
    <row r="3275" spans="1:1">
      <c r="A3275" s="5" t="s">
        <v>321</v>
      </c>
    </row>
    <row r="3276" spans="1:1">
      <c r="A3276" s="6"/>
    </row>
    <row r="3277" spans="1:1">
      <c r="A3277" s="5" t="s">
        <v>322</v>
      </c>
    </row>
    <row r="3278" spans="1:1">
      <c r="A3278" s="5" t="s">
        <v>323</v>
      </c>
    </row>
    <row r="3279" spans="1:1">
      <c r="A3279" s="5" t="s">
        <v>324</v>
      </c>
    </row>
    <row r="3280" spans="1:1">
      <c r="A3280" s="5" t="s">
        <v>325</v>
      </c>
    </row>
    <row r="3281" spans="1:1">
      <c r="A3281" s="5" t="s">
        <v>326</v>
      </c>
    </row>
    <row r="3282" spans="1:1">
      <c r="A3282" s="5" t="s">
        <v>327</v>
      </c>
    </row>
    <row r="3283" spans="1:1">
      <c r="A3283" s="5" t="s">
        <v>328</v>
      </c>
    </row>
    <row r="3284" spans="1:1">
      <c r="A3284" s="5" t="s">
        <v>329</v>
      </c>
    </row>
    <row r="3285" spans="1:1">
      <c r="A3285" s="5" t="s">
        <v>3</v>
      </c>
    </row>
    <row r="3286" spans="1:1">
      <c r="A3286" s="5" t="s">
        <v>4</v>
      </c>
    </row>
    <row r="3287" spans="1:1">
      <c r="A3287" s="5" t="s">
        <v>5</v>
      </c>
    </row>
    <row r="3288" spans="1:1">
      <c r="A3288" s="5" t="s">
        <v>6</v>
      </c>
    </row>
    <row r="3289" spans="1:1">
      <c r="A3289" s="5" t="s">
        <v>7</v>
      </c>
    </row>
    <row r="3290" spans="1:1">
      <c r="A3290" s="5" t="s">
        <v>6</v>
      </c>
    </row>
    <row r="3291" spans="1:1">
      <c r="A3291" s="5" t="s">
        <v>330</v>
      </c>
    </row>
    <row r="3292" spans="1:1">
      <c r="A3292" s="5" t="s">
        <v>331</v>
      </c>
    </row>
    <row r="3293" spans="1:1">
      <c r="A3293" s="6"/>
    </row>
    <row r="3294" spans="1:1">
      <c r="A3294" s="5" t="s">
        <v>106</v>
      </c>
    </row>
    <row r="3295" spans="1:1">
      <c r="A3295" s="5" t="s">
        <v>103</v>
      </c>
    </row>
    <row r="3296" spans="1:1">
      <c r="A3296" s="5" t="s">
        <v>6</v>
      </c>
    </row>
    <row r="3297" spans="1:1">
      <c r="A3297" s="5" t="s">
        <v>91</v>
      </c>
    </row>
    <row r="3298" spans="1:1">
      <c r="A3298" s="5" t="s">
        <v>63</v>
      </c>
    </row>
    <row r="3299" spans="1:1">
      <c r="A3299" s="5" t="s">
        <v>92</v>
      </c>
    </row>
    <row r="3300" spans="1:1">
      <c r="A3300" s="6"/>
    </row>
    <row r="3301" spans="1:1">
      <c r="A3301" s="5" t="s">
        <v>19</v>
      </c>
    </row>
    <row r="3302" spans="1:1">
      <c r="A3302" s="5" t="s">
        <v>20</v>
      </c>
    </row>
    <row r="3303" spans="1:1">
      <c r="A3303" s="5" t="s">
        <v>21</v>
      </c>
    </row>
    <row r="3304" spans="1:1">
      <c r="A3304" s="5" t="s">
        <v>22</v>
      </c>
    </row>
    <row r="3305" spans="1:1">
      <c r="A3305" s="5" t="s">
        <v>23</v>
      </c>
    </row>
    <row r="3306" spans="1:1">
      <c r="A3306" s="5" t="s">
        <v>24</v>
      </c>
    </row>
    <row r="3307" spans="1:1">
      <c r="A3307" s="5" t="s">
        <v>25</v>
      </c>
    </row>
    <row r="3308" spans="1:1">
      <c r="A3308" s="5" t="s">
        <v>26</v>
      </c>
    </row>
    <row r="3309" spans="1:1">
      <c r="A3309" s="5" t="s">
        <v>27</v>
      </c>
    </row>
    <row r="3310" spans="1:1">
      <c r="A3310" s="5" t="s">
        <v>6</v>
      </c>
    </row>
    <row r="3311" spans="1:1">
      <c r="A3311" s="5" t="s">
        <v>28</v>
      </c>
    </row>
    <row r="3312" spans="1:1">
      <c r="A3312" s="5" t="s">
        <v>29</v>
      </c>
    </row>
    <row r="3313" spans="1:1">
      <c r="A3313" s="6"/>
    </row>
    <row r="3314" spans="1:1">
      <c r="A3314" s="6"/>
    </row>
    <row r="3315" spans="1:1">
      <c r="A3315" s="5" t="s">
        <v>6</v>
      </c>
    </row>
    <row r="3316" spans="1:1">
      <c r="A3316" s="5" t="s">
        <v>30</v>
      </c>
    </row>
    <row r="3317" spans="1:1">
      <c r="A3317" s="6"/>
    </row>
    <row r="3318" spans="1:1">
      <c r="A3318" s="5" t="s">
        <v>31</v>
      </c>
    </row>
    <row r="3319" spans="1:1">
      <c r="A3319" s="5" t="s">
        <v>32</v>
      </c>
    </row>
    <row r="3320" spans="1:1">
      <c r="A3320" s="5" t="s">
        <v>33</v>
      </c>
    </row>
    <row r="3321" spans="1:1">
      <c r="A3321" s="5" t="s">
        <v>34</v>
      </c>
    </row>
    <row r="3322" spans="1:1">
      <c r="A3322" s="5" t="s">
        <v>35</v>
      </c>
    </row>
    <row r="3323" spans="1:1">
      <c r="A3323" s="5" t="s">
        <v>36</v>
      </c>
    </row>
    <row r="3324" spans="1:1">
      <c r="A3324" s="5" t="s">
        <v>37</v>
      </c>
    </row>
    <row r="3325" spans="1:1">
      <c r="A3325" s="5" t="s">
        <v>38</v>
      </c>
    </row>
    <row r="3326" spans="1:1">
      <c r="A3326" s="5" t="s">
        <v>39</v>
      </c>
    </row>
    <row r="3327" spans="1:1">
      <c r="A3327" s="6"/>
    </row>
    <row r="3328" spans="1:1">
      <c r="A3328" s="5" t="s">
        <v>330</v>
      </c>
    </row>
    <row r="3329" spans="1:1">
      <c r="A3329" s="5" t="s">
        <v>331</v>
      </c>
    </row>
    <row r="3330" spans="1:1">
      <c r="A3330" s="6"/>
    </row>
    <row r="3331" spans="1:1">
      <c r="A3331" s="6"/>
    </row>
    <row r="3332" spans="1:1">
      <c r="A3332" s="6"/>
    </row>
    <row r="3333" spans="1:1">
      <c r="A3333" s="6"/>
    </row>
    <row r="3334" spans="1:1">
      <c r="A3334" s="5" t="s">
        <v>6</v>
      </c>
    </row>
    <row r="3335" spans="1:1">
      <c r="A3335" s="5" t="s">
        <v>40</v>
      </c>
    </row>
    <row r="3336" spans="1:1">
      <c r="A3336" s="6"/>
    </row>
    <row r="3337" spans="1:1">
      <c r="A3337" s="5" t="s">
        <v>41</v>
      </c>
    </row>
    <row r="3338" spans="1:1">
      <c r="A3338" s="6"/>
    </row>
    <row r="3339" spans="1:1">
      <c r="A3339" s="5" t="s">
        <v>42</v>
      </c>
    </row>
    <row r="3340" spans="1:1">
      <c r="A3340" s="6"/>
    </row>
    <row r="3341" spans="1:1">
      <c r="A3341" s="5" t="s">
        <v>43</v>
      </c>
    </row>
    <row r="3342" spans="1:1">
      <c r="A3342" s="5" t="s">
        <v>44</v>
      </c>
    </row>
    <row r="3343" spans="1:1">
      <c r="A3343" s="5" t="s">
        <v>45</v>
      </c>
    </row>
    <row r="3344" spans="1:1">
      <c r="A3344" s="5" t="s">
        <v>46</v>
      </c>
    </row>
    <row r="3345" spans="1:1">
      <c r="A3345" s="5" t="s">
        <v>47</v>
      </c>
    </row>
    <row r="3346" spans="1:1">
      <c r="A3346" s="5" t="s">
        <v>37</v>
      </c>
    </row>
    <row r="3347" spans="1:1">
      <c r="A3347" s="6"/>
    </row>
    <row r="3348" spans="1:1">
      <c r="A3348" s="5" t="s">
        <v>330</v>
      </c>
    </row>
    <row r="3349" spans="1:1">
      <c r="A3349" s="5" t="s">
        <v>331</v>
      </c>
    </row>
    <row r="3350" spans="1:1">
      <c r="A3350" s="6"/>
    </row>
    <row r="3351" spans="1:1">
      <c r="A3351" s="6"/>
    </row>
    <row r="3352" spans="1:1">
      <c r="A3352" s="5" t="s">
        <v>3</v>
      </c>
    </row>
    <row r="3353" spans="1:1">
      <c r="A3353" s="5" t="s">
        <v>4</v>
      </c>
    </row>
    <row r="3354" spans="1:1">
      <c r="A3354" s="5" t="s">
        <v>5</v>
      </c>
    </row>
    <row r="3355" spans="1:1">
      <c r="A3355" s="5" t="s">
        <v>6</v>
      </c>
    </row>
    <row r="3356" spans="1:1">
      <c r="A3356" s="5" t="s">
        <v>7</v>
      </c>
    </row>
    <row r="3357" spans="1:1">
      <c r="A3357" s="5" t="s">
        <v>6</v>
      </c>
    </row>
    <row r="3358" spans="1:1">
      <c r="A3358" s="5" t="s">
        <v>332</v>
      </c>
    </row>
    <row r="3359" spans="1:1">
      <c r="A3359" s="5" t="s">
        <v>333</v>
      </c>
    </row>
    <row r="3360" spans="1:1">
      <c r="A3360" s="6"/>
    </row>
    <row r="3361" spans="1:1">
      <c r="A3361" s="5" t="s">
        <v>12</v>
      </c>
    </row>
    <row r="3362" spans="1:1">
      <c r="A3362" s="5" t="s">
        <v>13</v>
      </c>
    </row>
    <row r="3363" spans="1:1">
      <c r="A3363" s="5" t="s">
        <v>200</v>
      </c>
    </row>
    <row r="3364" spans="1:1">
      <c r="A3364" s="5" t="s">
        <v>106</v>
      </c>
    </row>
    <row r="3365" spans="1:1">
      <c r="A3365" s="5" t="s">
        <v>103</v>
      </c>
    </row>
    <row r="3366" spans="1:1">
      <c r="A3366" s="5" t="s">
        <v>6</v>
      </c>
    </row>
    <row r="3367" spans="1:1">
      <c r="A3367" s="5" t="s">
        <v>334</v>
      </c>
    </row>
    <row r="3368" spans="1:1">
      <c r="A3368" s="5" t="s">
        <v>335</v>
      </c>
    </row>
    <row r="3369" spans="1:1">
      <c r="A3369" s="5" t="s">
        <v>336</v>
      </c>
    </row>
    <row r="3370" spans="1:1">
      <c r="A3370" s="6"/>
    </row>
    <row r="3371" spans="1:1">
      <c r="A3371" s="5" t="s">
        <v>18</v>
      </c>
    </row>
    <row r="3372" spans="1:1">
      <c r="A3372" s="7">
        <v>100000</v>
      </c>
    </row>
    <row r="3373" spans="1:1">
      <c r="A3373" s="6"/>
    </row>
    <row r="3374" spans="1:1">
      <c r="A3374" s="5" t="s">
        <v>19</v>
      </c>
    </row>
    <row r="3375" spans="1:1">
      <c r="A3375" s="5" t="s">
        <v>20</v>
      </c>
    </row>
    <row r="3376" spans="1:1">
      <c r="A3376" s="5" t="s">
        <v>21</v>
      </c>
    </row>
    <row r="3377" spans="1:1">
      <c r="A3377" s="5" t="s">
        <v>22</v>
      </c>
    </row>
    <row r="3378" spans="1:1">
      <c r="A3378" s="5" t="s">
        <v>23</v>
      </c>
    </row>
    <row r="3379" spans="1:1">
      <c r="A3379" s="5" t="s">
        <v>24</v>
      </c>
    </row>
    <row r="3380" spans="1:1">
      <c r="A3380" s="5" t="s">
        <v>25</v>
      </c>
    </row>
    <row r="3381" spans="1:1">
      <c r="A3381" s="5" t="s">
        <v>26</v>
      </c>
    </row>
    <row r="3382" spans="1:1">
      <c r="A3382" s="5" t="s">
        <v>27</v>
      </c>
    </row>
    <row r="3383" spans="1:1">
      <c r="A3383" s="5" t="s">
        <v>6</v>
      </c>
    </row>
    <row r="3384" spans="1:1">
      <c r="A3384" s="5" t="s">
        <v>28</v>
      </c>
    </row>
    <row r="3385" spans="1:1">
      <c r="A3385" s="5" t="s">
        <v>29</v>
      </c>
    </row>
    <row r="3386" spans="1:1">
      <c r="A3386" s="6"/>
    </row>
    <row r="3387" spans="1:1">
      <c r="A3387" s="6"/>
    </row>
    <row r="3388" spans="1:1">
      <c r="A3388" s="5" t="s">
        <v>6</v>
      </c>
    </row>
    <row r="3389" spans="1:1">
      <c r="A3389" s="5" t="s">
        <v>30</v>
      </c>
    </row>
    <row r="3390" spans="1:1">
      <c r="A3390" s="6"/>
    </row>
    <row r="3391" spans="1:1">
      <c r="A3391" s="5" t="s">
        <v>31</v>
      </c>
    </row>
    <row r="3392" spans="1:1">
      <c r="A3392" s="5" t="s">
        <v>32</v>
      </c>
    </row>
    <row r="3393" spans="1:1">
      <c r="A3393" s="5" t="s">
        <v>33</v>
      </c>
    </row>
    <row r="3394" spans="1:1">
      <c r="A3394" s="5" t="s">
        <v>34</v>
      </c>
    </row>
    <row r="3395" spans="1:1">
      <c r="A3395" s="5" t="s">
        <v>35</v>
      </c>
    </row>
    <row r="3396" spans="1:1">
      <c r="A3396" s="5" t="s">
        <v>36</v>
      </c>
    </row>
    <row r="3397" spans="1:1">
      <c r="A3397" s="5" t="s">
        <v>37</v>
      </c>
    </row>
    <row r="3398" spans="1:1">
      <c r="A3398" s="5" t="s">
        <v>38</v>
      </c>
    </row>
    <row r="3399" spans="1:1">
      <c r="A3399" s="5" t="s">
        <v>39</v>
      </c>
    </row>
    <row r="3400" spans="1:1">
      <c r="A3400" s="6"/>
    </row>
    <row r="3401" spans="1:1">
      <c r="A3401" s="5" t="s">
        <v>332</v>
      </c>
    </row>
    <row r="3402" spans="1:1">
      <c r="A3402" s="5" t="s">
        <v>333</v>
      </c>
    </row>
    <row r="3403" spans="1:1">
      <c r="A3403" s="6"/>
    </row>
    <row r="3404" spans="1:1">
      <c r="A3404" s="6"/>
    </row>
    <row r="3405" spans="1:1">
      <c r="A3405" s="6"/>
    </row>
    <row r="3406" spans="1:1">
      <c r="A3406" s="6"/>
    </row>
    <row r="3407" spans="1:1">
      <c r="A3407" s="5" t="s">
        <v>6</v>
      </c>
    </row>
    <row r="3408" spans="1:1">
      <c r="A3408" s="5" t="s">
        <v>40</v>
      </c>
    </row>
    <row r="3409" spans="1:1">
      <c r="A3409" s="6"/>
    </row>
    <row r="3410" spans="1:1">
      <c r="A3410" s="5" t="s">
        <v>41</v>
      </c>
    </row>
    <row r="3411" spans="1:1">
      <c r="A3411" s="6"/>
    </row>
    <row r="3412" spans="1:1">
      <c r="A3412" s="5" t="s">
        <v>42</v>
      </c>
    </row>
    <row r="3413" spans="1:1">
      <c r="A3413" s="6"/>
    </row>
    <row r="3414" spans="1:1">
      <c r="A3414" s="5" t="s">
        <v>43</v>
      </c>
    </row>
    <row r="3415" spans="1:1">
      <c r="A3415" s="5" t="s">
        <v>44</v>
      </c>
    </row>
    <row r="3416" spans="1:1">
      <c r="A3416" s="5" t="s">
        <v>45</v>
      </c>
    </row>
    <row r="3417" spans="1:1">
      <c r="A3417" s="5" t="s">
        <v>46</v>
      </c>
    </row>
    <row r="3418" spans="1:1">
      <c r="A3418" s="5" t="s">
        <v>47</v>
      </c>
    </row>
    <row r="3419" spans="1:1">
      <c r="A3419" s="5" t="s">
        <v>37</v>
      </c>
    </row>
    <row r="3420" spans="1:1">
      <c r="A3420" s="6"/>
    </row>
    <row r="3421" spans="1:1">
      <c r="A3421" s="5" t="s">
        <v>332</v>
      </c>
    </row>
    <row r="3422" spans="1:1">
      <c r="A3422" s="5" t="s">
        <v>333</v>
      </c>
    </row>
    <row r="3423" spans="1:1">
      <c r="A3423" s="6"/>
    </row>
    <row r="3424" spans="1:1">
      <c r="A3424" s="6"/>
    </row>
    <row r="3425" spans="1:1">
      <c r="A3425" s="5" t="s">
        <v>3</v>
      </c>
    </row>
    <row r="3426" spans="1:1">
      <c r="A3426" s="5" t="s">
        <v>4</v>
      </c>
    </row>
    <row r="3427" spans="1:1">
      <c r="A3427" s="5" t="s">
        <v>5</v>
      </c>
    </row>
    <row r="3428" spans="1:1">
      <c r="A3428" s="5" t="s">
        <v>6</v>
      </c>
    </row>
    <row r="3429" spans="1:1">
      <c r="A3429" s="5" t="s">
        <v>7</v>
      </c>
    </row>
    <row r="3430" spans="1:1">
      <c r="A3430" s="5" t="s">
        <v>6</v>
      </c>
    </row>
    <row r="3431" spans="1:1">
      <c r="A3431" s="5" t="s">
        <v>337</v>
      </c>
    </row>
    <row r="3432" spans="1:1">
      <c r="A3432" s="5" t="s">
        <v>338</v>
      </c>
    </row>
    <row r="3433" spans="1:1">
      <c r="A3433" s="6"/>
    </row>
    <row r="3434" spans="1:1">
      <c r="A3434" s="5" t="s">
        <v>151</v>
      </c>
    </row>
    <row r="3435" spans="1:1">
      <c r="A3435" s="5" t="s">
        <v>103</v>
      </c>
    </row>
    <row r="3436" spans="1:1">
      <c r="A3436" s="5" t="s">
        <v>152</v>
      </c>
    </row>
    <row r="3437" spans="1:1">
      <c r="A3437" s="5" t="s">
        <v>6</v>
      </c>
    </row>
    <row r="3438" spans="1:1">
      <c r="A3438" s="5" t="s">
        <v>153</v>
      </c>
    </row>
    <row r="3439" spans="1:1">
      <c r="A3439" s="5" t="s">
        <v>339</v>
      </c>
    </row>
    <row r="3440" spans="1:1">
      <c r="A3440" s="5" t="s">
        <v>340</v>
      </c>
    </row>
    <row r="3441" spans="1:1">
      <c r="A3441" s="6"/>
    </row>
    <row r="3442" spans="1:1">
      <c r="A3442" s="5" t="s">
        <v>19</v>
      </c>
    </row>
    <row r="3443" spans="1:1">
      <c r="A3443" s="5" t="s">
        <v>20</v>
      </c>
    </row>
    <row r="3444" spans="1:1">
      <c r="A3444" s="5" t="s">
        <v>21</v>
      </c>
    </row>
    <row r="3445" spans="1:1">
      <c r="A3445" s="5" t="s">
        <v>22</v>
      </c>
    </row>
    <row r="3446" spans="1:1">
      <c r="A3446" s="5" t="s">
        <v>23</v>
      </c>
    </row>
    <row r="3447" spans="1:1">
      <c r="A3447" s="5" t="s">
        <v>24</v>
      </c>
    </row>
    <row r="3448" spans="1:1">
      <c r="A3448" s="5" t="s">
        <v>25</v>
      </c>
    </row>
    <row r="3449" spans="1:1">
      <c r="A3449" s="5" t="s">
        <v>26</v>
      </c>
    </row>
    <row r="3450" spans="1:1">
      <c r="A3450" s="5" t="s">
        <v>27</v>
      </c>
    </row>
    <row r="3451" spans="1:1">
      <c r="A3451" s="5" t="s">
        <v>6</v>
      </c>
    </row>
    <row r="3452" spans="1:1">
      <c r="A3452" s="5" t="s">
        <v>28</v>
      </c>
    </row>
    <row r="3453" spans="1:1">
      <c r="A3453" s="5" t="s">
        <v>29</v>
      </c>
    </row>
    <row r="3454" spans="1:1">
      <c r="A3454" s="6"/>
    </row>
    <row r="3455" spans="1:1">
      <c r="A3455" s="6"/>
    </row>
    <row r="3456" spans="1:1">
      <c r="A3456" s="5" t="s">
        <v>6</v>
      </c>
    </row>
    <row r="3457" spans="1:1">
      <c r="A3457" s="5" t="s">
        <v>30</v>
      </c>
    </row>
    <row r="3458" spans="1:1">
      <c r="A3458" s="6"/>
    </row>
    <row r="3459" spans="1:1">
      <c r="A3459" s="5" t="s">
        <v>31</v>
      </c>
    </row>
    <row r="3460" spans="1:1">
      <c r="A3460" s="5" t="s">
        <v>32</v>
      </c>
    </row>
    <row r="3461" spans="1:1">
      <c r="A3461" s="5" t="s">
        <v>33</v>
      </c>
    </row>
    <row r="3462" spans="1:1">
      <c r="A3462" s="5" t="s">
        <v>34</v>
      </c>
    </row>
    <row r="3463" spans="1:1">
      <c r="A3463" s="5" t="s">
        <v>35</v>
      </c>
    </row>
    <row r="3464" spans="1:1">
      <c r="A3464" s="5" t="s">
        <v>36</v>
      </c>
    </row>
    <row r="3465" spans="1:1">
      <c r="A3465" s="5" t="s">
        <v>37</v>
      </c>
    </row>
    <row r="3466" spans="1:1">
      <c r="A3466" s="5" t="s">
        <v>38</v>
      </c>
    </row>
    <row r="3467" spans="1:1">
      <c r="A3467" s="5" t="s">
        <v>39</v>
      </c>
    </row>
    <row r="3468" spans="1:1">
      <c r="A3468" s="6"/>
    </row>
    <row r="3469" spans="1:1">
      <c r="A3469" s="5" t="s">
        <v>337</v>
      </c>
    </row>
    <row r="3470" spans="1:1">
      <c r="A3470" s="5" t="s">
        <v>338</v>
      </c>
    </row>
    <row r="3471" spans="1:1">
      <c r="A3471" s="6"/>
    </row>
    <row r="3472" spans="1:1">
      <c r="A3472" s="6"/>
    </row>
    <row r="3473" spans="1:1">
      <c r="A3473" s="6"/>
    </row>
    <row r="3474" spans="1:1">
      <c r="A3474" s="6"/>
    </row>
    <row r="3475" spans="1:1">
      <c r="A3475" s="5" t="s">
        <v>6</v>
      </c>
    </row>
    <row r="3476" spans="1:1">
      <c r="A3476" s="5" t="s">
        <v>40</v>
      </c>
    </row>
    <row r="3477" spans="1:1">
      <c r="A3477" s="6"/>
    </row>
    <row r="3478" spans="1:1">
      <c r="A3478" s="5" t="s">
        <v>41</v>
      </c>
    </row>
    <row r="3479" spans="1:1">
      <c r="A3479" s="6"/>
    </row>
    <row r="3480" spans="1:1">
      <c r="A3480" s="5" t="s">
        <v>42</v>
      </c>
    </row>
    <row r="3481" spans="1:1">
      <c r="A3481" s="6"/>
    </row>
    <row r="3482" spans="1:1">
      <c r="A3482" s="5" t="s">
        <v>43</v>
      </c>
    </row>
    <row r="3483" spans="1:1">
      <c r="A3483" s="5" t="s">
        <v>44</v>
      </c>
    </row>
    <row r="3484" spans="1:1">
      <c r="A3484" s="5" t="s">
        <v>45</v>
      </c>
    </row>
    <row r="3485" spans="1:1">
      <c r="A3485" s="5" t="s">
        <v>46</v>
      </c>
    </row>
    <row r="3486" spans="1:1">
      <c r="A3486" s="5" t="s">
        <v>47</v>
      </c>
    </row>
    <row r="3487" spans="1:1">
      <c r="A3487" s="5" t="s">
        <v>37</v>
      </c>
    </row>
    <row r="3488" spans="1:1">
      <c r="A3488" s="6"/>
    </row>
    <row r="3489" spans="1:1">
      <c r="A3489" s="5" t="s">
        <v>337</v>
      </c>
    </row>
    <row r="3490" spans="1:1">
      <c r="A3490" s="5" t="s">
        <v>338</v>
      </c>
    </row>
    <row r="3491" spans="1:1">
      <c r="A3491" s="6"/>
    </row>
    <row r="3492" spans="1:1">
      <c r="A3492" s="6"/>
    </row>
    <row r="3493" spans="1:1">
      <c r="A3493" s="5" t="s">
        <v>3</v>
      </c>
    </row>
    <row r="3494" spans="1:1">
      <c r="A3494" s="5" t="s">
        <v>4</v>
      </c>
    </row>
    <row r="3495" spans="1:1">
      <c r="A3495" s="5" t="s">
        <v>5</v>
      </c>
    </row>
    <row r="3496" spans="1:1">
      <c r="A3496" s="5" t="s">
        <v>6</v>
      </c>
    </row>
    <row r="3497" spans="1:1">
      <c r="A3497" s="5" t="s">
        <v>7</v>
      </c>
    </row>
    <row r="3498" spans="1:1">
      <c r="A3498" s="5" t="s">
        <v>6</v>
      </c>
    </row>
    <row r="3499" spans="1:1">
      <c r="A3499" s="5" t="s">
        <v>341</v>
      </c>
    </row>
    <row r="3500" spans="1:1">
      <c r="A3500" s="5" t="s">
        <v>342</v>
      </c>
    </row>
    <row r="3501" spans="1:1">
      <c r="A3501" s="6"/>
    </row>
    <row r="3502" spans="1:1">
      <c r="A3502" s="5" t="s">
        <v>12</v>
      </c>
    </row>
    <row r="3503" spans="1:1">
      <c r="A3503" s="5" t="s">
        <v>13</v>
      </c>
    </row>
    <row r="3504" spans="1:1">
      <c r="A3504" s="5" t="s">
        <v>200</v>
      </c>
    </row>
    <row r="3505" spans="1:1">
      <c r="A3505" s="5" t="s">
        <v>103</v>
      </c>
    </row>
    <row r="3506" spans="1:1">
      <c r="A3506" s="5" t="s">
        <v>6</v>
      </c>
    </row>
    <row r="3507" spans="1:1">
      <c r="A3507" s="5" t="s">
        <v>16</v>
      </c>
    </row>
    <row r="3508" spans="1:1">
      <c r="A3508" s="5" t="s">
        <v>17</v>
      </c>
    </row>
    <row r="3509" spans="1:1">
      <c r="A3509" s="6"/>
    </row>
    <row r="3510" spans="1:1">
      <c r="A3510" s="5" t="s">
        <v>18</v>
      </c>
    </row>
    <row r="3511" spans="1:1">
      <c r="A3511" s="7">
        <v>100000</v>
      </c>
    </row>
    <row r="3512" spans="1:1">
      <c r="A3512" s="6"/>
    </row>
    <row r="3513" spans="1:1">
      <c r="A3513" s="5" t="s">
        <v>19</v>
      </c>
    </row>
    <row r="3514" spans="1:1">
      <c r="A3514" s="5" t="s">
        <v>20</v>
      </c>
    </row>
    <row r="3515" spans="1:1">
      <c r="A3515" s="5" t="s">
        <v>21</v>
      </c>
    </row>
    <row r="3516" spans="1:1">
      <c r="A3516" s="5" t="s">
        <v>22</v>
      </c>
    </row>
    <row r="3517" spans="1:1">
      <c r="A3517" s="5" t="s">
        <v>23</v>
      </c>
    </row>
    <row r="3518" spans="1:1">
      <c r="A3518" s="5" t="s">
        <v>24</v>
      </c>
    </row>
    <row r="3519" spans="1:1">
      <c r="A3519" s="5" t="s">
        <v>25</v>
      </c>
    </row>
    <row r="3520" spans="1:1">
      <c r="A3520" s="5" t="s">
        <v>26</v>
      </c>
    </row>
    <row r="3521" spans="1:1">
      <c r="A3521" s="5" t="s">
        <v>27</v>
      </c>
    </row>
    <row r="3522" spans="1:1">
      <c r="A3522" s="5" t="s">
        <v>6</v>
      </c>
    </row>
    <row r="3523" spans="1:1">
      <c r="A3523" s="5" t="s">
        <v>28</v>
      </c>
    </row>
    <row r="3524" spans="1:1">
      <c r="A3524" s="5" t="s">
        <v>29</v>
      </c>
    </row>
    <row r="3525" spans="1:1">
      <c r="A3525" s="6"/>
    </row>
    <row r="3526" spans="1:1">
      <c r="A3526" s="6"/>
    </row>
    <row r="3527" spans="1:1">
      <c r="A3527" s="5" t="s">
        <v>6</v>
      </c>
    </row>
    <row r="3528" spans="1:1">
      <c r="A3528" s="5" t="s">
        <v>30</v>
      </c>
    </row>
    <row r="3529" spans="1:1">
      <c r="A3529" s="6"/>
    </row>
    <row r="3530" spans="1:1">
      <c r="A3530" s="5" t="s">
        <v>31</v>
      </c>
    </row>
    <row r="3531" spans="1:1">
      <c r="A3531" s="5" t="s">
        <v>32</v>
      </c>
    </row>
    <row r="3532" spans="1:1">
      <c r="A3532" s="5" t="s">
        <v>33</v>
      </c>
    </row>
    <row r="3533" spans="1:1">
      <c r="A3533" s="5" t="s">
        <v>34</v>
      </c>
    </row>
    <row r="3534" spans="1:1">
      <c r="A3534" s="5" t="s">
        <v>35</v>
      </c>
    </row>
    <row r="3535" spans="1:1">
      <c r="A3535" s="5" t="s">
        <v>36</v>
      </c>
    </row>
    <row r="3536" spans="1:1">
      <c r="A3536" s="5" t="s">
        <v>37</v>
      </c>
    </row>
    <row r="3537" spans="1:1">
      <c r="A3537" s="5" t="s">
        <v>38</v>
      </c>
    </row>
    <row r="3538" spans="1:1">
      <c r="A3538" s="5" t="s">
        <v>39</v>
      </c>
    </row>
    <row r="3539" spans="1:1">
      <c r="A3539" s="6"/>
    </row>
    <row r="3540" spans="1:1">
      <c r="A3540" s="5" t="s">
        <v>341</v>
      </c>
    </row>
    <row r="3541" spans="1:1">
      <c r="A3541" s="5" t="s">
        <v>342</v>
      </c>
    </row>
    <row r="3542" spans="1:1">
      <c r="A3542" s="6"/>
    </row>
    <row r="3543" spans="1:1">
      <c r="A3543" s="6"/>
    </row>
    <row r="3544" spans="1:1">
      <c r="A3544" s="6"/>
    </row>
    <row r="3545" spans="1:1">
      <c r="A3545" s="6"/>
    </row>
    <row r="3546" spans="1:1">
      <c r="A3546" s="5" t="s">
        <v>6</v>
      </c>
    </row>
    <row r="3547" spans="1:1">
      <c r="A3547" s="5" t="s">
        <v>40</v>
      </c>
    </row>
    <row r="3548" spans="1:1">
      <c r="A3548" s="6"/>
    </row>
    <row r="3549" spans="1:1">
      <c r="A3549" s="5" t="s">
        <v>41</v>
      </c>
    </row>
    <row r="3550" spans="1:1">
      <c r="A3550" s="6"/>
    </row>
    <row r="3551" spans="1:1">
      <c r="A3551" s="5" t="s">
        <v>42</v>
      </c>
    </row>
    <row r="3552" spans="1:1">
      <c r="A3552" s="6"/>
    </row>
    <row r="3553" spans="1:1">
      <c r="A3553" s="5" t="s">
        <v>43</v>
      </c>
    </row>
    <row r="3554" spans="1:1">
      <c r="A3554" s="5" t="s">
        <v>44</v>
      </c>
    </row>
    <row r="3555" spans="1:1">
      <c r="A3555" s="5" t="s">
        <v>45</v>
      </c>
    </row>
    <row r="3556" spans="1:1">
      <c r="A3556" s="5" t="s">
        <v>46</v>
      </c>
    </row>
    <row r="3557" spans="1:1">
      <c r="A3557" s="5" t="s">
        <v>47</v>
      </c>
    </row>
    <row r="3558" spans="1:1">
      <c r="A3558" s="5" t="s">
        <v>37</v>
      </c>
    </row>
    <row r="3559" spans="1:1">
      <c r="A3559" s="6"/>
    </row>
    <row r="3560" spans="1:1">
      <c r="A3560" s="5" t="s">
        <v>341</v>
      </c>
    </row>
    <row r="3561" spans="1:1">
      <c r="A3561" s="5" t="s">
        <v>342</v>
      </c>
    </row>
    <row r="3562" spans="1:1">
      <c r="A3562" s="6"/>
    </row>
    <row r="3563" spans="1:1">
      <c r="A3563" s="6"/>
    </row>
    <row r="3564" spans="1:1">
      <c r="A3564" s="5" t="s">
        <v>3</v>
      </c>
    </row>
    <row r="3565" spans="1:1">
      <c r="A3565" s="5" t="s">
        <v>4</v>
      </c>
    </row>
    <row r="3566" spans="1:1">
      <c r="A3566" s="5" t="s">
        <v>5</v>
      </c>
    </row>
    <row r="3567" spans="1:1">
      <c r="A3567" s="5" t="s">
        <v>6</v>
      </c>
    </row>
    <row r="3568" spans="1:1">
      <c r="A3568" s="5" t="s">
        <v>7</v>
      </c>
    </row>
    <row r="3569" spans="1:1">
      <c r="A3569" s="5" t="s">
        <v>6</v>
      </c>
    </row>
    <row r="3570" spans="1:1">
      <c r="A3570" s="5" t="s">
        <v>343</v>
      </c>
    </row>
    <row r="3571" spans="1:1">
      <c r="A3571" s="5" t="s">
        <v>344</v>
      </c>
    </row>
    <row r="3572" spans="1:1">
      <c r="A3572" s="6"/>
    </row>
    <row r="3573" spans="1:1">
      <c r="A3573" s="5" t="s">
        <v>345</v>
      </c>
    </row>
    <row r="3574" spans="1:1">
      <c r="A3574" s="5" t="s">
        <v>103</v>
      </c>
    </row>
    <row r="3575" spans="1:1">
      <c r="A3575" s="5" t="s">
        <v>152</v>
      </c>
    </row>
    <row r="3576" spans="1:1">
      <c r="A3576" s="5" t="s">
        <v>6</v>
      </c>
    </row>
    <row r="3577" spans="1:1">
      <c r="A3577" s="5" t="s">
        <v>346</v>
      </c>
    </row>
    <row r="3578" spans="1:1">
      <c r="A3578" s="5" t="s">
        <v>63</v>
      </c>
    </row>
    <row r="3579" spans="1:1">
      <c r="A3579" s="5" t="s">
        <v>347</v>
      </c>
    </row>
    <row r="3580" spans="1:1">
      <c r="A3580" s="6"/>
    </row>
    <row r="3581" spans="1:1">
      <c r="A3581" s="5" t="s">
        <v>19</v>
      </c>
    </row>
    <row r="3582" spans="1:1">
      <c r="A3582" s="5" t="s">
        <v>20</v>
      </c>
    </row>
    <row r="3583" spans="1:1">
      <c r="A3583" s="5" t="s">
        <v>21</v>
      </c>
    </row>
    <row r="3584" spans="1:1">
      <c r="A3584" s="5" t="s">
        <v>22</v>
      </c>
    </row>
    <row r="3585" spans="1:1">
      <c r="A3585" s="5" t="s">
        <v>23</v>
      </c>
    </row>
    <row r="3586" spans="1:1">
      <c r="A3586" s="5" t="s">
        <v>24</v>
      </c>
    </row>
    <row r="3587" spans="1:1">
      <c r="A3587" s="5" t="s">
        <v>25</v>
      </c>
    </row>
    <row r="3588" spans="1:1">
      <c r="A3588" s="5" t="s">
        <v>26</v>
      </c>
    </row>
    <row r="3589" spans="1:1">
      <c r="A3589" s="5" t="s">
        <v>27</v>
      </c>
    </row>
    <row r="3590" spans="1:1">
      <c r="A3590" s="5" t="s">
        <v>6</v>
      </c>
    </row>
    <row r="3591" spans="1:1">
      <c r="A3591" s="5" t="s">
        <v>28</v>
      </c>
    </row>
    <row r="3592" spans="1:1">
      <c r="A3592" s="5" t="s">
        <v>29</v>
      </c>
    </row>
    <row r="3593" spans="1:1">
      <c r="A3593" s="6"/>
    </row>
    <row r="3594" spans="1:1">
      <c r="A3594" s="6"/>
    </row>
    <row r="3595" spans="1:1">
      <c r="A3595" s="5" t="s">
        <v>6</v>
      </c>
    </row>
    <row r="3596" spans="1:1">
      <c r="A3596" s="5" t="s">
        <v>30</v>
      </c>
    </row>
    <row r="3597" spans="1:1">
      <c r="A3597" s="6"/>
    </row>
    <row r="3598" spans="1:1">
      <c r="A3598" s="5" t="s">
        <v>31</v>
      </c>
    </row>
    <row r="3599" spans="1:1">
      <c r="A3599" s="5" t="s">
        <v>32</v>
      </c>
    </row>
    <row r="3600" spans="1:1">
      <c r="A3600" s="5" t="s">
        <v>33</v>
      </c>
    </row>
    <row r="3601" spans="1:1">
      <c r="A3601" s="5" t="s">
        <v>34</v>
      </c>
    </row>
    <row r="3602" spans="1:1">
      <c r="A3602" s="5" t="s">
        <v>35</v>
      </c>
    </row>
    <row r="3603" spans="1:1">
      <c r="A3603" s="5" t="s">
        <v>36</v>
      </c>
    </row>
    <row r="3604" spans="1:1">
      <c r="A3604" s="5" t="s">
        <v>37</v>
      </c>
    </row>
    <row r="3605" spans="1:1">
      <c r="A3605" s="5" t="s">
        <v>38</v>
      </c>
    </row>
    <row r="3606" spans="1:1">
      <c r="A3606" s="5" t="s">
        <v>39</v>
      </c>
    </row>
    <row r="3607" spans="1:1">
      <c r="A3607" s="6"/>
    </row>
    <row r="3608" spans="1:1">
      <c r="A3608" s="5" t="s">
        <v>343</v>
      </c>
    </row>
    <row r="3609" spans="1:1">
      <c r="A3609" s="5" t="s">
        <v>344</v>
      </c>
    </row>
    <row r="3610" spans="1:1">
      <c r="A3610" s="6"/>
    </row>
    <row r="3611" spans="1:1">
      <c r="A3611" s="6"/>
    </row>
    <row r="3612" spans="1:1">
      <c r="A3612" s="6"/>
    </row>
    <row r="3613" spans="1:1">
      <c r="A3613" s="6"/>
    </row>
    <row r="3614" spans="1:1">
      <c r="A3614" s="5" t="s">
        <v>6</v>
      </c>
    </row>
    <row r="3615" spans="1:1">
      <c r="A3615" s="5" t="s">
        <v>40</v>
      </c>
    </row>
    <row r="3616" spans="1:1">
      <c r="A3616" s="6"/>
    </row>
    <row r="3617" spans="1:1">
      <c r="A3617" s="5" t="s">
        <v>41</v>
      </c>
    </row>
    <row r="3618" spans="1:1">
      <c r="A3618" s="6"/>
    </row>
    <row r="3619" spans="1:1">
      <c r="A3619" s="5" t="s">
        <v>42</v>
      </c>
    </row>
    <row r="3620" spans="1:1">
      <c r="A3620" s="6"/>
    </row>
    <row r="3621" spans="1:1">
      <c r="A3621" s="5" t="s">
        <v>43</v>
      </c>
    </row>
    <row r="3622" spans="1:1">
      <c r="A3622" s="5" t="s">
        <v>44</v>
      </c>
    </row>
    <row r="3623" spans="1:1">
      <c r="A3623" s="5" t="s">
        <v>45</v>
      </c>
    </row>
    <row r="3624" spans="1:1">
      <c r="A3624" s="5" t="s">
        <v>46</v>
      </c>
    </row>
    <row r="3625" spans="1:1">
      <c r="A3625" s="5" t="s">
        <v>47</v>
      </c>
    </row>
    <row r="3626" spans="1:1">
      <c r="A3626" s="5" t="s">
        <v>37</v>
      </c>
    </row>
    <row r="3627" spans="1:1">
      <c r="A3627" s="6"/>
    </row>
    <row r="3628" spans="1:1">
      <c r="A3628" s="5" t="s">
        <v>343</v>
      </c>
    </row>
    <row r="3629" spans="1:1">
      <c r="A3629" s="5" t="s">
        <v>344</v>
      </c>
    </row>
    <row r="3630" spans="1:1">
      <c r="A3630" s="6"/>
    </row>
    <row r="3631" spans="1:1">
      <c r="A3631" s="6"/>
    </row>
    <row r="3632" spans="1:1">
      <c r="A3632" s="5" t="s">
        <v>3</v>
      </c>
    </row>
    <row r="3633" spans="1:1">
      <c r="A3633" s="5" t="s">
        <v>4</v>
      </c>
    </row>
    <row r="3634" spans="1:1">
      <c r="A3634" s="5" t="s">
        <v>5</v>
      </c>
    </row>
    <row r="3635" spans="1:1">
      <c r="A3635" s="5" t="s">
        <v>6</v>
      </c>
    </row>
    <row r="3636" spans="1:1">
      <c r="A3636" s="5" t="s">
        <v>7</v>
      </c>
    </row>
    <row r="3637" spans="1:1">
      <c r="A3637" s="5" t="s">
        <v>6</v>
      </c>
    </row>
    <row r="3638" spans="1:1">
      <c r="A3638" s="5" t="s">
        <v>348</v>
      </c>
    </row>
    <row r="3639" spans="1:1">
      <c r="A3639" s="5" t="s">
        <v>349</v>
      </c>
    </row>
    <row r="3640" spans="1:1">
      <c r="A3640" s="6"/>
    </row>
    <row r="3641" spans="1:1">
      <c r="A3641" s="5" t="s">
        <v>109</v>
      </c>
    </row>
    <row r="3642" spans="1:1">
      <c r="A3642" s="5" t="s">
        <v>15</v>
      </c>
    </row>
    <row r="3643" spans="1:1">
      <c r="A3643" s="5" t="s">
        <v>6</v>
      </c>
    </row>
    <row r="3644" spans="1:1">
      <c r="A3644" s="5" t="s">
        <v>110</v>
      </c>
    </row>
    <row r="3645" spans="1:1">
      <c r="A3645" s="5" t="s">
        <v>17</v>
      </c>
    </row>
    <row r="3646" spans="1:1">
      <c r="A3646" s="5" t="s">
        <v>111</v>
      </c>
    </row>
    <row r="3647" spans="1:1">
      <c r="A3647" s="6"/>
    </row>
    <row r="3648" spans="1:1">
      <c r="A3648" s="5" t="s">
        <v>19</v>
      </c>
    </row>
    <row r="3649" spans="1:1">
      <c r="A3649" s="5" t="s">
        <v>20</v>
      </c>
    </row>
    <row r="3650" spans="1:1">
      <c r="A3650" s="5" t="s">
        <v>21</v>
      </c>
    </row>
    <row r="3651" spans="1:1">
      <c r="A3651" s="5" t="s">
        <v>22</v>
      </c>
    </row>
    <row r="3652" spans="1:1">
      <c r="A3652" s="5" t="s">
        <v>23</v>
      </c>
    </row>
    <row r="3653" spans="1:1">
      <c r="A3653" s="5" t="s">
        <v>24</v>
      </c>
    </row>
    <row r="3654" spans="1:1">
      <c r="A3654" s="5" t="s">
        <v>25</v>
      </c>
    </row>
    <row r="3655" spans="1:1">
      <c r="A3655" s="5" t="s">
        <v>26</v>
      </c>
    </row>
    <row r="3656" spans="1:1">
      <c r="A3656" s="5" t="s">
        <v>27</v>
      </c>
    </row>
    <row r="3657" spans="1:1">
      <c r="A3657" s="5" t="s">
        <v>6</v>
      </c>
    </row>
    <row r="3658" spans="1:1">
      <c r="A3658" s="5" t="s">
        <v>28</v>
      </c>
    </row>
    <row r="3659" spans="1:1">
      <c r="A3659" s="5" t="s">
        <v>29</v>
      </c>
    </row>
    <row r="3660" spans="1:1">
      <c r="A3660" s="6"/>
    </row>
    <row r="3661" spans="1:1">
      <c r="A3661" s="6"/>
    </row>
    <row r="3662" spans="1:1">
      <c r="A3662" s="5" t="s">
        <v>6</v>
      </c>
    </row>
    <row r="3663" spans="1:1">
      <c r="A3663" s="5" t="s">
        <v>30</v>
      </c>
    </row>
    <row r="3664" spans="1:1">
      <c r="A3664" s="6"/>
    </row>
    <row r="3665" spans="1:1">
      <c r="A3665" s="5" t="s">
        <v>31</v>
      </c>
    </row>
    <row r="3666" spans="1:1">
      <c r="A3666" s="5" t="s">
        <v>32</v>
      </c>
    </row>
    <row r="3667" spans="1:1">
      <c r="A3667" s="5" t="s">
        <v>33</v>
      </c>
    </row>
    <row r="3668" spans="1:1">
      <c r="A3668" s="5" t="s">
        <v>34</v>
      </c>
    </row>
    <row r="3669" spans="1:1">
      <c r="A3669" s="5" t="s">
        <v>35</v>
      </c>
    </row>
    <row r="3670" spans="1:1">
      <c r="A3670" s="5" t="s">
        <v>36</v>
      </c>
    </row>
    <row r="3671" spans="1:1">
      <c r="A3671" s="5" t="s">
        <v>37</v>
      </c>
    </row>
    <row r="3672" spans="1:1">
      <c r="A3672" s="5" t="s">
        <v>38</v>
      </c>
    </row>
    <row r="3673" spans="1:1">
      <c r="A3673" s="5" t="s">
        <v>39</v>
      </c>
    </row>
    <row r="3674" spans="1:1">
      <c r="A3674" s="6"/>
    </row>
    <row r="3675" spans="1:1">
      <c r="A3675" s="5" t="s">
        <v>348</v>
      </c>
    </row>
    <row r="3676" spans="1:1">
      <c r="A3676" s="5" t="s">
        <v>349</v>
      </c>
    </row>
    <row r="3677" spans="1:1">
      <c r="A3677" s="6"/>
    </row>
    <row r="3678" spans="1:1">
      <c r="A3678" s="6"/>
    </row>
    <row r="3679" spans="1:1">
      <c r="A3679" s="5" t="s">
        <v>3</v>
      </c>
    </row>
    <row r="3680" spans="1:1">
      <c r="A3680" s="5" t="s">
        <v>4</v>
      </c>
    </row>
    <row r="3681" spans="1:1">
      <c r="A3681" s="5" t="s">
        <v>5</v>
      </c>
    </row>
    <row r="3682" spans="1:1">
      <c r="A3682" s="5" t="s">
        <v>6</v>
      </c>
    </row>
    <row r="3683" spans="1:1">
      <c r="A3683" s="5" t="s">
        <v>7</v>
      </c>
    </row>
    <row r="3684" spans="1:1">
      <c r="A3684" s="5" t="s">
        <v>6</v>
      </c>
    </row>
    <row r="3685" spans="1:1">
      <c r="A3685" s="5" t="s">
        <v>350</v>
      </c>
    </row>
    <row r="3686" spans="1:1">
      <c r="A3686" s="5" t="s">
        <v>351</v>
      </c>
    </row>
    <row r="3687" spans="1:1">
      <c r="A3687" s="6"/>
    </row>
    <row r="3688" spans="1:1">
      <c r="A3688" s="5" t="s">
        <v>12</v>
      </c>
    </row>
    <row r="3689" spans="1:1">
      <c r="A3689" s="5" t="s">
        <v>13</v>
      </c>
    </row>
    <row r="3690" spans="1:1">
      <c r="A3690" s="5" t="s">
        <v>200</v>
      </c>
    </row>
    <row r="3691" spans="1:1">
      <c r="A3691" s="5" t="s">
        <v>15</v>
      </c>
    </row>
    <row r="3692" spans="1:1">
      <c r="A3692" s="5" t="s">
        <v>6</v>
      </c>
    </row>
    <row r="3693" spans="1:1">
      <c r="A3693" s="5" t="s">
        <v>16</v>
      </c>
    </row>
    <row r="3694" spans="1:1">
      <c r="A3694" s="5" t="s">
        <v>17</v>
      </c>
    </row>
    <row r="3695" spans="1:1">
      <c r="A3695" s="5" t="s">
        <v>352</v>
      </c>
    </row>
    <row r="3696" spans="1:1">
      <c r="A3696" s="6"/>
    </row>
    <row r="3697" spans="1:1">
      <c r="A3697" s="5" t="s">
        <v>18</v>
      </c>
    </row>
    <row r="3698" spans="1:1">
      <c r="A3698" s="7">
        <v>100000</v>
      </c>
    </row>
    <row r="3699" spans="1:1">
      <c r="A3699" s="6"/>
    </row>
    <row r="3700" spans="1:1">
      <c r="A3700" s="5" t="s">
        <v>19</v>
      </c>
    </row>
    <row r="3701" spans="1:1">
      <c r="A3701" s="5" t="s">
        <v>20</v>
      </c>
    </row>
    <row r="3702" spans="1:1">
      <c r="A3702" s="5" t="s">
        <v>21</v>
      </c>
    </row>
    <row r="3703" spans="1:1">
      <c r="A3703" s="5" t="s">
        <v>22</v>
      </c>
    </row>
    <row r="3704" spans="1:1">
      <c r="A3704" s="5" t="s">
        <v>23</v>
      </c>
    </row>
    <row r="3705" spans="1:1">
      <c r="A3705" s="5" t="s">
        <v>24</v>
      </c>
    </row>
    <row r="3706" spans="1:1">
      <c r="A3706" s="5" t="s">
        <v>25</v>
      </c>
    </row>
    <row r="3707" spans="1:1">
      <c r="A3707" s="5" t="s">
        <v>26</v>
      </c>
    </row>
    <row r="3708" spans="1:1">
      <c r="A3708" s="5" t="s">
        <v>27</v>
      </c>
    </row>
    <row r="3709" spans="1:1">
      <c r="A3709" s="5" t="s">
        <v>6</v>
      </c>
    </row>
    <row r="3710" spans="1:1">
      <c r="A3710" s="5" t="s">
        <v>28</v>
      </c>
    </row>
    <row r="3711" spans="1:1">
      <c r="A3711" s="5" t="s">
        <v>29</v>
      </c>
    </row>
    <row r="3712" spans="1:1">
      <c r="A3712" s="6"/>
    </row>
    <row r="3713" spans="1:1">
      <c r="A3713" s="6"/>
    </row>
    <row r="3714" spans="1:1">
      <c r="A3714" s="5" t="s">
        <v>6</v>
      </c>
    </row>
    <row r="3715" spans="1:1">
      <c r="A3715" s="5" t="s">
        <v>30</v>
      </c>
    </row>
    <row r="3716" spans="1:1">
      <c r="A3716" s="6"/>
    </row>
    <row r="3717" spans="1:1">
      <c r="A3717" s="5" t="s">
        <v>31</v>
      </c>
    </row>
    <row r="3718" spans="1:1">
      <c r="A3718" s="5" t="s">
        <v>32</v>
      </c>
    </row>
    <row r="3719" spans="1:1">
      <c r="A3719" s="5" t="s">
        <v>33</v>
      </c>
    </row>
    <row r="3720" spans="1:1">
      <c r="A3720" s="5" t="s">
        <v>34</v>
      </c>
    </row>
    <row r="3721" spans="1:1">
      <c r="A3721" s="5" t="s">
        <v>35</v>
      </c>
    </row>
    <row r="3722" spans="1:1">
      <c r="A3722" s="5" t="s">
        <v>36</v>
      </c>
    </row>
    <row r="3723" spans="1:1">
      <c r="A3723" s="5" t="s">
        <v>37</v>
      </c>
    </row>
    <row r="3724" spans="1:1">
      <c r="A3724" s="5" t="s">
        <v>38</v>
      </c>
    </row>
    <row r="3725" spans="1:1">
      <c r="A3725" s="5" t="s">
        <v>39</v>
      </c>
    </row>
    <row r="3726" spans="1:1">
      <c r="A3726" s="6"/>
    </row>
    <row r="3727" spans="1:1">
      <c r="A3727" s="5" t="s">
        <v>350</v>
      </c>
    </row>
    <row r="3728" spans="1:1">
      <c r="A3728" s="5" t="s">
        <v>351</v>
      </c>
    </row>
    <row r="3729" spans="1:1">
      <c r="A3729" s="6"/>
    </row>
    <row r="3730" spans="1:1">
      <c r="A3730" s="6"/>
    </row>
    <row r="3731" spans="1:1">
      <c r="A3731" s="6"/>
    </row>
    <row r="3732" spans="1:1">
      <c r="A3732" s="6"/>
    </row>
    <row r="3733" spans="1:1">
      <c r="A3733" s="5" t="s">
        <v>6</v>
      </c>
    </row>
    <row r="3734" spans="1:1">
      <c r="A3734" s="5" t="s">
        <v>40</v>
      </c>
    </row>
    <row r="3735" spans="1:1">
      <c r="A3735" s="6"/>
    </row>
    <row r="3736" spans="1:1">
      <c r="A3736" s="5" t="s">
        <v>41</v>
      </c>
    </row>
    <row r="3737" spans="1:1">
      <c r="A3737" s="6"/>
    </row>
    <row r="3738" spans="1:1">
      <c r="A3738" s="5" t="s">
        <v>42</v>
      </c>
    </row>
    <row r="3739" spans="1:1">
      <c r="A3739" s="6"/>
    </row>
    <row r="3740" spans="1:1">
      <c r="A3740" s="5" t="s">
        <v>43</v>
      </c>
    </row>
    <row r="3741" spans="1:1">
      <c r="A3741" s="5" t="s">
        <v>44</v>
      </c>
    </row>
    <row r="3742" spans="1:1">
      <c r="A3742" s="5" t="s">
        <v>45</v>
      </c>
    </row>
    <row r="3743" spans="1:1">
      <c r="A3743" s="5" t="s">
        <v>46</v>
      </c>
    </row>
    <row r="3744" spans="1:1">
      <c r="A3744" s="5" t="s">
        <v>47</v>
      </c>
    </row>
    <row r="3745" spans="1:1">
      <c r="A3745" s="5" t="s">
        <v>37</v>
      </c>
    </row>
    <row r="3746" spans="1:1">
      <c r="A3746" s="6"/>
    </row>
    <row r="3747" spans="1:1">
      <c r="A3747" s="5" t="s">
        <v>350</v>
      </c>
    </row>
    <row r="3748" spans="1:1">
      <c r="A3748" s="5" t="s">
        <v>351</v>
      </c>
    </row>
    <row r="3749" spans="1:1">
      <c r="A3749" s="6"/>
    </row>
    <row r="3750" spans="1:1">
      <c r="A3750" s="6"/>
    </row>
    <row r="3751" spans="1:1">
      <c r="A3751" s="5" t="s">
        <v>3</v>
      </c>
    </row>
    <row r="3752" spans="1:1">
      <c r="A3752" s="5" t="s">
        <v>4</v>
      </c>
    </row>
    <row r="3753" spans="1:1">
      <c r="A3753" s="5" t="s">
        <v>5</v>
      </c>
    </row>
    <row r="3754" spans="1:1">
      <c r="A3754" s="5" t="s">
        <v>6</v>
      </c>
    </row>
    <row r="3755" spans="1:1">
      <c r="A3755" s="5" t="s">
        <v>7</v>
      </c>
    </row>
    <row r="3756" spans="1:1">
      <c r="A3756" s="5" t="s">
        <v>6</v>
      </c>
    </row>
    <row r="3757" spans="1:1">
      <c r="A3757" s="5" t="s">
        <v>353</v>
      </c>
    </row>
    <row r="3758" spans="1:1">
      <c r="A3758" s="5" t="s">
        <v>354</v>
      </c>
    </row>
    <row r="3759" spans="1:1">
      <c r="A3759" s="6"/>
    </row>
    <row r="3760" spans="1:1">
      <c r="A3760" s="5" t="s">
        <v>151</v>
      </c>
    </row>
    <row r="3761" spans="1:1">
      <c r="A3761" s="5" t="s">
        <v>15</v>
      </c>
    </row>
    <row r="3762" spans="1:1">
      <c r="A3762" s="5" t="s">
        <v>6</v>
      </c>
    </row>
    <row r="3763" spans="1:1">
      <c r="A3763" s="5" t="s">
        <v>355</v>
      </c>
    </row>
    <row r="3764" spans="1:1">
      <c r="A3764" s="5" t="s">
        <v>356</v>
      </c>
    </row>
    <row r="3765" spans="1:1">
      <c r="A3765" s="6"/>
    </row>
    <row r="3766" spans="1:1">
      <c r="A3766" s="5" t="s">
        <v>19</v>
      </c>
    </row>
    <row r="3767" spans="1:1">
      <c r="A3767" s="5" t="s">
        <v>20</v>
      </c>
    </row>
    <row r="3768" spans="1:1">
      <c r="A3768" s="5" t="s">
        <v>21</v>
      </c>
    </row>
    <row r="3769" spans="1:1">
      <c r="A3769" s="5" t="s">
        <v>22</v>
      </c>
    </row>
    <row r="3770" spans="1:1">
      <c r="A3770" s="5" t="s">
        <v>23</v>
      </c>
    </row>
    <row r="3771" spans="1:1">
      <c r="A3771" s="5" t="s">
        <v>24</v>
      </c>
    </row>
    <row r="3772" spans="1:1">
      <c r="A3772" s="5" t="s">
        <v>25</v>
      </c>
    </row>
    <row r="3773" spans="1:1">
      <c r="A3773" s="5" t="s">
        <v>26</v>
      </c>
    </row>
    <row r="3774" spans="1:1">
      <c r="A3774" s="5" t="s">
        <v>27</v>
      </c>
    </row>
    <row r="3775" spans="1:1">
      <c r="A3775" s="5" t="s">
        <v>6</v>
      </c>
    </row>
    <row r="3776" spans="1:1">
      <c r="A3776" s="5" t="s">
        <v>28</v>
      </c>
    </row>
    <row r="3777" spans="1:1">
      <c r="A3777" s="5" t="s">
        <v>29</v>
      </c>
    </row>
    <row r="3778" spans="1:1">
      <c r="A3778" s="6"/>
    </row>
    <row r="3779" spans="1:1">
      <c r="A3779" s="6"/>
    </row>
    <row r="3780" spans="1:1">
      <c r="A3780" s="5" t="s">
        <v>6</v>
      </c>
    </row>
    <row r="3781" spans="1:1">
      <c r="A3781" s="5" t="s">
        <v>30</v>
      </c>
    </row>
    <row r="3782" spans="1:1">
      <c r="A3782" s="6"/>
    </row>
    <row r="3783" spans="1:1">
      <c r="A3783" s="5" t="s">
        <v>31</v>
      </c>
    </row>
    <row r="3784" spans="1:1">
      <c r="A3784" s="5" t="s">
        <v>32</v>
      </c>
    </row>
    <row r="3785" spans="1:1">
      <c r="A3785" s="5" t="s">
        <v>33</v>
      </c>
    </row>
    <row r="3786" spans="1:1">
      <c r="A3786" s="5" t="s">
        <v>34</v>
      </c>
    </row>
    <row r="3787" spans="1:1">
      <c r="A3787" s="5" t="s">
        <v>35</v>
      </c>
    </row>
    <row r="3788" spans="1:1">
      <c r="A3788" s="5" t="s">
        <v>36</v>
      </c>
    </row>
    <row r="3789" spans="1:1">
      <c r="A3789" s="5" t="s">
        <v>37</v>
      </c>
    </row>
    <row r="3790" spans="1:1">
      <c r="A3790" s="5" t="s">
        <v>38</v>
      </c>
    </row>
    <row r="3791" spans="1:1">
      <c r="A3791" s="5" t="s">
        <v>39</v>
      </c>
    </row>
    <row r="3792" spans="1:1">
      <c r="A3792" s="6"/>
    </row>
    <row r="3793" spans="1:1">
      <c r="A3793" s="5" t="s">
        <v>353</v>
      </c>
    </row>
    <row r="3794" spans="1:1">
      <c r="A3794" s="5" t="s">
        <v>354</v>
      </c>
    </row>
    <row r="3795" spans="1:1">
      <c r="A3795" s="6"/>
    </row>
    <row r="3796" spans="1:1">
      <c r="A3796" s="6"/>
    </row>
    <row r="3797" spans="1:1">
      <c r="A3797" s="6"/>
    </row>
    <row r="3798" spans="1:1">
      <c r="A3798" s="6"/>
    </row>
    <row r="3799" spans="1:1">
      <c r="A3799" s="5" t="s">
        <v>6</v>
      </c>
    </row>
    <row r="3800" spans="1:1">
      <c r="A3800" s="5" t="s">
        <v>40</v>
      </c>
    </row>
    <row r="3801" spans="1:1">
      <c r="A3801" s="6"/>
    </row>
    <row r="3802" spans="1:1">
      <c r="A3802" s="5" t="s">
        <v>41</v>
      </c>
    </row>
    <row r="3803" spans="1:1">
      <c r="A3803" s="6"/>
    </row>
    <row r="3804" spans="1:1">
      <c r="A3804" s="5" t="s">
        <v>42</v>
      </c>
    </row>
    <row r="3805" spans="1:1">
      <c r="A3805" s="6"/>
    </row>
    <row r="3806" spans="1:1">
      <c r="A3806" s="5" t="s">
        <v>43</v>
      </c>
    </row>
    <row r="3807" spans="1:1">
      <c r="A3807" s="5" t="s">
        <v>44</v>
      </c>
    </row>
    <row r="3808" spans="1:1">
      <c r="A3808" s="5" t="s">
        <v>45</v>
      </c>
    </row>
    <row r="3809" spans="1:1">
      <c r="A3809" s="5" t="s">
        <v>46</v>
      </c>
    </row>
    <row r="3810" spans="1:1">
      <c r="A3810" s="5" t="s">
        <v>47</v>
      </c>
    </row>
    <row r="3811" spans="1:1">
      <c r="A3811" s="5" t="s">
        <v>37</v>
      </c>
    </row>
    <row r="3812" spans="1:1">
      <c r="A3812" s="6"/>
    </row>
    <row r="3813" spans="1:1">
      <c r="A3813" s="5" t="s">
        <v>353</v>
      </c>
    </row>
    <row r="3814" spans="1:1">
      <c r="A3814" s="5" t="s">
        <v>354</v>
      </c>
    </row>
    <row r="3815" spans="1:1">
      <c r="A3815" s="6"/>
    </row>
    <row r="3816" spans="1:1">
      <c r="A3816" s="6"/>
    </row>
    <row r="3817" spans="1:1">
      <c r="A3817" s="5" t="s">
        <v>3</v>
      </c>
    </row>
    <row r="3818" spans="1:1">
      <c r="A3818" s="5" t="s">
        <v>4</v>
      </c>
    </row>
    <row r="3819" spans="1:1">
      <c r="A3819" s="5" t="s">
        <v>5</v>
      </c>
    </row>
    <row r="3820" spans="1:1">
      <c r="A3820" s="5" t="s">
        <v>6</v>
      </c>
    </row>
    <row r="3821" spans="1:1">
      <c r="A3821" s="5" t="s">
        <v>7</v>
      </c>
    </row>
    <row r="3822" spans="1:1">
      <c r="A3822" s="5" t="s">
        <v>6</v>
      </c>
    </row>
    <row r="3823" spans="1:1">
      <c r="A3823" s="5" t="s">
        <v>357</v>
      </c>
    </row>
    <row r="3824" spans="1:1">
      <c r="A3824" s="5" t="s">
        <v>358</v>
      </c>
    </row>
    <row r="3825" spans="1:1">
      <c r="A3825" s="6"/>
    </row>
    <row r="3826" spans="1:1">
      <c r="A3826" s="5" t="s">
        <v>87</v>
      </c>
    </row>
    <row r="3827" spans="1:1">
      <c r="A3827" s="5" t="s">
        <v>88</v>
      </c>
    </row>
    <row r="3828" spans="1:1">
      <c r="A3828" s="5" t="s">
        <v>89</v>
      </c>
    </row>
    <row r="3829" spans="1:1">
      <c r="A3829" s="5" t="s">
        <v>15</v>
      </c>
    </row>
    <row r="3830" spans="1:1">
      <c r="A3830" s="5" t="s">
        <v>6</v>
      </c>
    </row>
    <row r="3831" spans="1:1">
      <c r="A3831" s="5" t="s">
        <v>91</v>
      </c>
    </row>
    <row r="3832" spans="1:1">
      <c r="A3832" s="5" t="s">
        <v>63</v>
      </c>
    </row>
    <row r="3833" spans="1:1">
      <c r="A3833" s="5" t="s">
        <v>92</v>
      </c>
    </row>
    <row r="3834" spans="1:1">
      <c r="A3834" s="6"/>
    </row>
    <row r="3835" spans="1:1">
      <c r="A3835" s="5" t="s">
        <v>18</v>
      </c>
    </row>
    <row r="3836" spans="1:1">
      <c r="A3836" s="7">
        <v>45000</v>
      </c>
    </row>
    <row r="3837" spans="1:1">
      <c r="A3837" s="6"/>
    </row>
    <row r="3838" spans="1:1">
      <c r="A3838" s="5" t="s">
        <v>19</v>
      </c>
    </row>
    <row r="3839" spans="1:1">
      <c r="A3839" s="5" t="s">
        <v>20</v>
      </c>
    </row>
    <row r="3840" spans="1:1">
      <c r="A3840" s="5" t="s">
        <v>21</v>
      </c>
    </row>
    <row r="3841" spans="1:1">
      <c r="A3841" s="5" t="s">
        <v>22</v>
      </c>
    </row>
    <row r="3842" spans="1:1">
      <c r="A3842" s="5" t="s">
        <v>23</v>
      </c>
    </row>
    <row r="3843" spans="1:1">
      <c r="A3843" s="5" t="s">
        <v>24</v>
      </c>
    </row>
    <row r="3844" spans="1:1">
      <c r="A3844" s="5" t="s">
        <v>25</v>
      </c>
    </row>
    <row r="3845" spans="1:1">
      <c r="A3845" s="5" t="s">
        <v>26</v>
      </c>
    </row>
    <row r="3846" spans="1:1">
      <c r="A3846" s="5" t="s">
        <v>27</v>
      </c>
    </row>
    <row r="3847" spans="1:1">
      <c r="A3847" s="5" t="s">
        <v>6</v>
      </c>
    </row>
    <row r="3848" spans="1:1">
      <c r="A3848" s="5" t="s">
        <v>28</v>
      </c>
    </row>
    <row r="3849" spans="1:1">
      <c r="A3849" s="5" t="s">
        <v>29</v>
      </c>
    </row>
    <row r="3850" spans="1:1">
      <c r="A3850" s="6"/>
    </row>
    <row r="3851" spans="1:1">
      <c r="A3851" s="6"/>
    </row>
    <row r="3852" spans="1:1">
      <c r="A3852" s="5" t="s">
        <v>6</v>
      </c>
    </row>
    <row r="3853" spans="1:1">
      <c r="A3853" s="5" t="s">
        <v>30</v>
      </c>
    </row>
    <row r="3854" spans="1:1">
      <c r="A3854" s="6"/>
    </row>
    <row r="3855" spans="1:1">
      <c r="A3855" s="5" t="s">
        <v>31</v>
      </c>
    </row>
    <row r="3856" spans="1:1">
      <c r="A3856" s="5" t="s">
        <v>32</v>
      </c>
    </row>
    <row r="3857" spans="1:1">
      <c r="A3857" s="5" t="s">
        <v>33</v>
      </c>
    </row>
    <row r="3858" spans="1:1">
      <c r="A3858" s="5" t="s">
        <v>34</v>
      </c>
    </row>
    <row r="3859" spans="1:1">
      <c r="A3859" s="5" t="s">
        <v>35</v>
      </c>
    </row>
    <row r="3860" spans="1:1">
      <c r="A3860" s="5" t="s">
        <v>36</v>
      </c>
    </row>
    <row r="3861" spans="1:1">
      <c r="A3861" s="5" t="s">
        <v>37</v>
      </c>
    </row>
    <row r="3862" spans="1:1">
      <c r="A3862" s="5" t="s">
        <v>38</v>
      </c>
    </row>
    <row r="3863" spans="1:1">
      <c r="A3863" s="5" t="s">
        <v>39</v>
      </c>
    </row>
    <row r="3864" spans="1:1">
      <c r="A3864" s="6"/>
    </row>
    <row r="3865" spans="1:1">
      <c r="A3865" s="5" t="s">
        <v>357</v>
      </c>
    </row>
    <row r="3866" spans="1:1">
      <c r="A3866" s="5" t="s">
        <v>358</v>
      </c>
    </row>
    <row r="3867" spans="1:1">
      <c r="A3867" s="6"/>
    </row>
    <row r="3868" spans="1:1">
      <c r="A3868" s="6"/>
    </row>
    <row r="3869" spans="1:1">
      <c r="A3869" s="6"/>
    </row>
    <row r="3870" spans="1:1">
      <c r="A3870" s="6"/>
    </row>
    <row r="3871" spans="1:1">
      <c r="A3871" s="5" t="s">
        <v>6</v>
      </c>
    </row>
    <row r="3872" spans="1:1">
      <c r="A3872" s="5" t="s">
        <v>40</v>
      </c>
    </row>
    <row r="3873" spans="1:1">
      <c r="A3873" s="6"/>
    </row>
    <row r="3874" spans="1:1">
      <c r="A3874" s="5" t="s">
        <v>41</v>
      </c>
    </row>
    <row r="3875" spans="1:1">
      <c r="A3875" s="6"/>
    </row>
    <row r="3876" spans="1:1">
      <c r="A3876" s="5" t="s">
        <v>42</v>
      </c>
    </row>
    <row r="3877" spans="1:1">
      <c r="A3877" s="6"/>
    </row>
    <row r="3878" spans="1:1">
      <c r="A3878" s="5" t="s">
        <v>43</v>
      </c>
    </row>
    <row r="3879" spans="1:1">
      <c r="A3879" s="5" t="s">
        <v>44</v>
      </c>
    </row>
    <row r="3880" spans="1:1">
      <c r="A3880" s="5" t="s">
        <v>45</v>
      </c>
    </row>
    <row r="3881" spans="1:1">
      <c r="A3881" s="5" t="s">
        <v>46</v>
      </c>
    </row>
    <row r="3882" spans="1:1">
      <c r="A3882" s="5" t="s">
        <v>47</v>
      </c>
    </row>
    <row r="3883" spans="1:1">
      <c r="A3883" s="5" t="s">
        <v>37</v>
      </c>
    </row>
    <row r="3884" spans="1:1">
      <c r="A3884" s="6"/>
    </row>
    <row r="3885" spans="1:1">
      <c r="A3885" s="5" t="s">
        <v>357</v>
      </c>
    </row>
    <row r="3886" spans="1:1">
      <c r="A3886" s="5" t="s">
        <v>358</v>
      </c>
    </row>
    <row r="3887" spans="1:1">
      <c r="A3887" s="6"/>
    </row>
    <row r="3888" spans="1:1">
      <c r="A3888" s="6"/>
    </row>
    <row r="3889" spans="1:1">
      <c r="A3889" s="5" t="s">
        <v>3</v>
      </c>
    </row>
    <row r="3890" spans="1:1">
      <c r="A3890" s="5" t="s">
        <v>4</v>
      </c>
    </row>
    <row r="3891" spans="1:1">
      <c r="A3891" s="5" t="s">
        <v>5</v>
      </c>
    </row>
    <row r="3892" spans="1:1">
      <c r="A3892" s="5" t="s">
        <v>6</v>
      </c>
    </row>
    <row r="3893" spans="1:1">
      <c r="A3893" s="5" t="s">
        <v>7</v>
      </c>
    </row>
    <row r="3894" spans="1:1">
      <c r="A3894" s="5" t="s">
        <v>6</v>
      </c>
    </row>
    <row r="3895" spans="1:1">
      <c r="A3895" s="5" t="s">
        <v>359</v>
      </c>
    </row>
    <row r="3896" spans="1:1">
      <c r="A3896" s="5" t="s">
        <v>360</v>
      </c>
    </row>
    <row r="3897" spans="1:1">
      <c r="A3897" s="6"/>
    </row>
    <row r="3898" spans="1:1">
      <c r="A3898" s="5" t="s">
        <v>87</v>
      </c>
    </row>
    <row r="3899" spans="1:1">
      <c r="A3899" s="5" t="s">
        <v>88</v>
      </c>
    </row>
    <row r="3900" spans="1:1">
      <c r="A3900" s="5" t="s">
        <v>89</v>
      </c>
    </row>
    <row r="3901" spans="1:1">
      <c r="A3901" s="5" t="s">
        <v>119</v>
      </c>
    </row>
    <row r="3902" spans="1:1">
      <c r="A3902" s="5" t="s">
        <v>6</v>
      </c>
    </row>
    <row r="3903" spans="1:1">
      <c r="A3903" s="5" t="s">
        <v>91</v>
      </c>
    </row>
    <row r="3904" spans="1:1">
      <c r="A3904" s="5" t="s">
        <v>63</v>
      </c>
    </row>
    <row r="3905" spans="1:1">
      <c r="A3905" s="5" t="s">
        <v>92</v>
      </c>
    </row>
    <row r="3906" spans="1:1">
      <c r="A3906" s="6"/>
    </row>
    <row r="3907" spans="1:1">
      <c r="A3907" s="5" t="s">
        <v>18</v>
      </c>
    </row>
    <row r="3908" spans="1:1">
      <c r="A3908" s="7">
        <v>45000</v>
      </c>
    </row>
    <row r="3909" spans="1:1">
      <c r="A3909" s="6"/>
    </row>
    <row r="3910" spans="1:1">
      <c r="A3910" s="5" t="s">
        <v>19</v>
      </c>
    </row>
    <row r="3911" spans="1:1">
      <c r="A3911" s="5" t="s">
        <v>20</v>
      </c>
    </row>
    <row r="3912" spans="1:1">
      <c r="A3912" s="5" t="s">
        <v>21</v>
      </c>
    </row>
    <row r="3913" spans="1:1">
      <c r="A3913" s="5" t="s">
        <v>22</v>
      </c>
    </row>
    <row r="3914" spans="1:1">
      <c r="A3914" s="5" t="s">
        <v>23</v>
      </c>
    </row>
    <row r="3915" spans="1:1">
      <c r="A3915" s="5" t="s">
        <v>24</v>
      </c>
    </row>
    <row r="3916" spans="1:1">
      <c r="A3916" s="5" t="s">
        <v>25</v>
      </c>
    </row>
    <row r="3917" spans="1:1">
      <c r="A3917" s="5" t="s">
        <v>26</v>
      </c>
    </row>
    <row r="3918" spans="1:1">
      <c r="A3918" s="5" t="s">
        <v>27</v>
      </c>
    </row>
    <row r="3919" spans="1:1">
      <c r="A3919" s="5" t="s">
        <v>6</v>
      </c>
    </row>
    <row r="3920" spans="1:1">
      <c r="A3920" s="5" t="s">
        <v>28</v>
      </c>
    </row>
    <row r="3921" spans="1:1">
      <c r="A3921" s="5" t="s">
        <v>29</v>
      </c>
    </row>
    <row r="3922" spans="1:1">
      <c r="A3922" s="6"/>
    </row>
    <row r="3923" spans="1:1">
      <c r="A3923" s="6"/>
    </row>
    <row r="3924" spans="1:1">
      <c r="A3924" s="5" t="s">
        <v>6</v>
      </c>
    </row>
    <row r="3925" spans="1:1">
      <c r="A3925" s="5" t="s">
        <v>30</v>
      </c>
    </row>
    <row r="3926" spans="1:1">
      <c r="A3926" s="6"/>
    </row>
    <row r="3927" spans="1:1">
      <c r="A3927" s="5" t="s">
        <v>31</v>
      </c>
    </row>
    <row r="3928" spans="1:1">
      <c r="A3928" s="5" t="s">
        <v>32</v>
      </c>
    </row>
    <row r="3929" spans="1:1">
      <c r="A3929" s="5" t="s">
        <v>33</v>
      </c>
    </row>
    <row r="3930" spans="1:1">
      <c r="A3930" s="5" t="s">
        <v>34</v>
      </c>
    </row>
    <row r="3931" spans="1:1">
      <c r="A3931" s="5" t="s">
        <v>35</v>
      </c>
    </row>
    <row r="3932" spans="1:1">
      <c r="A3932" s="5" t="s">
        <v>36</v>
      </c>
    </row>
    <row r="3933" spans="1:1">
      <c r="A3933" s="5" t="s">
        <v>37</v>
      </c>
    </row>
    <row r="3934" spans="1:1">
      <c r="A3934" s="5" t="s">
        <v>38</v>
      </c>
    </row>
    <row r="3935" spans="1:1">
      <c r="A3935" s="5" t="s">
        <v>39</v>
      </c>
    </row>
    <row r="3936" spans="1:1">
      <c r="A3936" s="6"/>
    </row>
    <row r="3937" spans="1:1">
      <c r="A3937" s="5" t="s">
        <v>359</v>
      </c>
    </row>
    <row r="3938" spans="1:1">
      <c r="A3938" s="5" t="s">
        <v>360</v>
      </c>
    </row>
    <row r="3939" spans="1:1">
      <c r="A3939" s="6"/>
    </row>
    <row r="3940" spans="1:1">
      <c r="A3940" s="6"/>
    </row>
    <row r="3941" spans="1:1">
      <c r="A3941" s="6"/>
    </row>
    <row r="3942" spans="1:1">
      <c r="A3942" s="6"/>
    </row>
    <row r="3943" spans="1:1">
      <c r="A3943" s="5" t="s">
        <v>6</v>
      </c>
    </row>
    <row r="3944" spans="1:1">
      <c r="A3944" s="5" t="s">
        <v>40</v>
      </c>
    </row>
    <row r="3945" spans="1:1">
      <c r="A3945" s="6"/>
    </row>
    <row r="3946" spans="1:1">
      <c r="A3946" s="5" t="s">
        <v>41</v>
      </c>
    </row>
    <row r="3947" spans="1:1">
      <c r="A3947" s="6"/>
    </row>
    <row r="3948" spans="1:1">
      <c r="A3948" s="5" t="s">
        <v>42</v>
      </c>
    </row>
    <row r="3949" spans="1:1">
      <c r="A3949" s="6"/>
    </row>
    <row r="3950" spans="1:1">
      <c r="A3950" s="5" t="s">
        <v>43</v>
      </c>
    </row>
    <row r="3951" spans="1:1">
      <c r="A3951" s="5" t="s">
        <v>44</v>
      </c>
    </row>
    <row r="3952" spans="1:1">
      <c r="A3952" s="5" t="s">
        <v>45</v>
      </c>
    </row>
    <row r="3953" spans="1:1">
      <c r="A3953" s="5" t="s">
        <v>46</v>
      </c>
    </row>
    <row r="3954" spans="1:1">
      <c r="A3954" s="5" t="s">
        <v>47</v>
      </c>
    </row>
    <row r="3955" spans="1:1">
      <c r="A3955" s="5" t="s">
        <v>37</v>
      </c>
    </row>
    <row r="3956" spans="1:1">
      <c r="A3956" s="6"/>
    </row>
    <row r="3957" spans="1:1">
      <c r="A3957" s="5" t="s">
        <v>359</v>
      </c>
    </row>
    <row r="3958" spans="1:1">
      <c r="A3958" s="5" t="s">
        <v>360</v>
      </c>
    </row>
    <row r="3959" spans="1:1">
      <c r="A3959" s="6"/>
    </row>
    <row r="3960" spans="1:1">
      <c r="A3960" s="6"/>
    </row>
    <row r="3961" spans="1:1">
      <c r="A3961" s="5" t="s">
        <v>3</v>
      </c>
    </row>
    <row r="3962" spans="1:1">
      <c r="A3962" s="5" t="s">
        <v>4</v>
      </c>
    </row>
    <row r="3963" spans="1:1">
      <c r="A3963" s="5" t="s">
        <v>5</v>
      </c>
    </row>
    <row r="3964" spans="1:1">
      <c r="A3964" s="5" t="s">
        <v>6</v>
      </c>
    </row>
    <row r="3965" spans="1:1">
      <c r="A3965" s="5" t="s">
        <v>7</v>
      </c>
    </row>
    <row r="3966" spans="1:1">
      <c r="A3966" s="5" t="s">
        <v>6</v>
      </c>
    </row>
    <row r="3967" spans="1:1">
      <c r="A3967" s="5" t="s">
        <v>361</v>
      </c>
    </row>
    <row r="3968" spans="1:1">
      <c r="A3968" s="5" t="s">
        <v>362</v>
      </c>
    </row>
    <row r="3969" spans="1:1">
      <c r="A3969" s="6"/>
    </row>
    <row r="3970" spans="1:1">
      <c r="A3970" s="5" t="s">
        <v>363</v>
      </c>
    </row>
    <row r="3971" spans="1:1">
      <c r="A3971" s="5" t="s">
        <v>364</v>
      </c>
    </row>
    <row r="3972" spans="1:1">
      <c r="A3972" s="5" t="s">
        <v>15</v>
      </c>
    </row>
    <row r="3973" spans="1:1">
      <c r="A3973" s="5" t="s">
        <v>6</v>
      </c>
    </row>
    <row r="3974" spans="1:1">
      <c r="A3974" s="5" t="s">
        <v>365</v>
      </c>
    </row>
    <row r="3975" spans="1:1">
      <c r="A3975" s="5" t="s">
        <v>366</v>
      </c>
    </row>
    <row r="3976" spans="1:1">
      <c r="A3976" s="5" t="s">
        <v>265</v>
      </c>
    </row>
    <row r="3977" spans="1:1">
      <c r="A3977" s="5" t="s">
        <v>367</v>
      </c>
    </row>
    <row r="3978" spans="1:1">
      <c r="A3978" s="6"/>
    </row>
    <row r="3979" spans="1:1">
      <c r="A3979" s="5" t="s">
        <v>19</v>
      </c>
    </row>
    <row r="3980" spans="1:1">
      <c r="A3980" s="5" t="s">
        <v>20</v>
      </c>
    </row>
    <row r="3981" spans="1:1">
      <c r="A3981" s="5" t="s">
        <v>21</v>
      </c>
    </row>
    <row r="3982" spans="1:1">
      <c r="A3982" s="5" t="s">
        <v>22</v>
      </c>
    </row>
    <row r="3983" spans="1:1">
      <c r="A3983" s="5" t="s">
        <v>23</v>
      </c>
    </row>
    <row r="3984" spans="1:1">
      <c r="A3984" s="5" t="s">
        <v>24</v>
      </c>
    </row>
    <row r="3985" spans="1:1">
      <c r="A3985" s="5" t="s">
        <v>25</v>
      </c>
    </row>
    <row r="3986" spans="1:1">
      <c r="A3986" s="5" t="s">
        <v>26</v>
      </c>
    </row>
    <row r="3987" spans="1:1">
      <c r="A3987" s="5" t="s">
        <v>27</v>
      </c>
    </row>
    <row r="3988" spans="1:1">
      <c r="A3988" s="5" t="s">
        <v>6</v>
      </c>
    </row>
    <row r="3989" spans="1:1">
      <c r="A3989" s="5" t="s">
        <v>28</v>
      </c>
    </row>
    <row r="3990" spans="1:1">
      <c r="A3990" s="5" t="s">
        <v>29</v>
      </c>
    </row>
    <row r="3991" spans="1:1">
      <c r="A3991" s="6"/>
    </row>
    <row r="3992" spans="1:1">
      <c r="A3992" s="6"/>
    </row>
    <row r="3993" spans="1:1">
      <c r="A3993" s="5" t="s">
        <v>6</v>
      </c>
    </row>
    <row r="3994" spans="1:1">
      <c r="A3994" s="5" t="s">
        <v>30</v>
      </c>
    </row>
    <row r="3995" spans="1:1">
      <c r="A3995" s="6"/>
    </row>
    <row r="3996" spans="1:1">
      <c r="A3996" s="5" t="s">
        <v>31</v>
      </c>
    </row>
    <row r="3997" spans="1:1">
      <c r="A3997" s="5" t="s">
        <v>32</v>
      </c>
    </row>
    <row r="3998" spans="1:1">
      <c r="A3998" s="5" t="s">
        <v>33</v>
      </c>
    </row>
    <row r="3999" spans="1:1">
      <c r="A3999" s="5" t="s">
        <v>34</v>
      </c>
    </row>
    <row r="4000" spans="1:1">
      <c r="A4000" s="5" t="s">
        <v>35</v>
      </c>
    </row>
    <row r="4001" spans="1:1">
      <c r="A4001" s="5" t="s">
        <v>36</v>
      </c>
    </row>
    <row r="4002" spans="1:1">
      <c r="A4002" s="5" t="s">
        <v>37</v>
      </c>
    </row>
    <row r="4003" spans="1:1">
      <c r="A4003" s="5" t="s">
        <v>38</v>
      </c>
    </row>
    <row r="4004" spans="1:1">
      <c r="A4004" s="5" t="s">
        <v>39</v>
      </c>
    </row>
    <row r="4005" spans="1:1">
      <c r="A4005" s="6"/>
    </row>
    <row r="4006" spans="1:1">
      <c r="A4006" s="5" t="s">
        <v>361</v>
      </c>
    </row>
    <row r="4007" spans="1:1">
      <c r="A4007" s="5" t="s">
        <v>362</v>
      </c>
    </row>
    <row r="4008" spans="1:1">
      <c r="A4008" s="6"/>
    </row>
    <row r="4009" spans="1:1">
      <c r="A4009" s="6"/>
    </row>
    <row r="4010" spans="1:1">
      <c r="A4010" s="6"/>
    </row>
    <row r="4011" spans="1:1">
      <c r="A4011" s="6"/>
    </row>
    <row r="4012" spans="1:1">
      <c r="A4012" s="5" t="s">
        <v>6</v>
      </c>
    </row>
    <row r="4013" spans="1:1">
      <c r="A4013" s="5" t="s">
        <v>40</v>
      </c>
    </row>
    <row r="4014" spans="1:1">
      <c r="A4014" s="6"/>
    </row>
    <row r="4015" spans="1:1">
      <c r="A4015" s="5" t="s">
        <v>41</v>
      </c>
    </row>
    <row r="4016" spans="1:1">
      <c r="A4016" s="6"/>
    </row>
    <row r="4017" spans="1:1">
      <c r="A4017" s="5" t="s">
        <v>42</v>
      </c>
    </row>
    <row r="4018" spans="1:1">
      <c r="A4018" s="6"/>
    </row>
    <row r="4019" spans="1:1">
      <c r="A4019" s="5" t="s">
        <v>43</v>
      </c>
    </row>
    <row r="4020" spans="1:1">
      <c r="A4020" s="5" t="s">
        <v>44</v>
      </c>
    </row>
    <row r="4021" spans="1:1">
      <c r="A4021" s="5" t="s">
        <v>45</v>
      </c>
    </row>
    <row r="4022" spans="1:1">
      <c r="A4022" s="5" t="s">
        <v>46</v>
      </c>
    </row>
    <row r="4023" spans="1:1">
      <c r="A4023" s="5" t="s">
        <v>47</v>
      </c>
    </row>
    <row r="4024" spans="1:1">
      <c r="A4024" s="5" t="s">
        <v>37</v>
      </c>
    </row>
    <row r="4025" spans="1:1">
      <c r="A4025" s="6"/>
    </row>
    <row r="4026" spans="1:1">
      <c r="A4026" s="5" t="s">
        <v>361</v>
      </c>
    </row>
    <row r="4027" spans="1:1">
      <c r="A4027" s="5" t="s">
        <v>362</v>
      </c>
    </row>
    <row r="4028" spans="1:1">
      <c r="A4028" s="6"/>
    </row>
    <row r="4029" spans="1:1">
      <c r="A4029" s="6"/>
    </row>
    <row r="4030" spans="1:1">
      <c r="A4030" s="5" t="s">
        <v>3</v>
      </c>
    </row>
    <row r="4031" spans="1:1">
      <c r="A4031" s="5" t="s">
        <v>4</v>
      </c>
    </row>
    <row r="4032" spans="1:1">
      <c r="A4032" s="5" t="s">
        <v>5</v>
      </c>
    </row>
    <row r="4033" spans="1:1">
      <c r="A4033" s="5" t="s">
        <v>6</v>
      </c>
    </row>
    <row r="4034" spans="1:1">
      <c r="A4034" s="5" t="s">
        <v>7</v>
      </c>
    </row>
    <row r="4035" spans="1:1">
      <c r="A4035" s="5" t="s">
        <v>6</v>
      </c>
    </row>
    <row r="4036" spans="1:1">
      <c r="A4036" s="5" t="s">
        <v>368</v>
      </c>
    </row>
    <row r="4037" spans="1:1">
      <c r="A4037" s="5" t="s">
        <v>369</v>
      </c>
    </row>
    <row r="4038" spans="1:1">
      <c r="A4038" s="6"/>
    </row>
    <row r="4039" spans="1:1">
      <c r="A4039" s="5" t="s">
        <v>109</v>
      </c>
    </row>
    <row r="4040" spans="1:1">
      <c r="A4040" s="5" t="s">
        <v>103</v>
      </c>
    </row>
    <row r="4041" spans="1:1">
      <c r="A4041" s="5" t="s">
        <v>6</v>
      </c>
    </row>
    <row r="4042" spans="1:1">
      <c r="A4042" s="5" t="s">
        <v>110</v>
      </c>
    </row>
    <row r="4043" spans="1:1">
      <c r="A4043" s="5" t="s">
        <v>17</v>
      </c>
    </row>
    <row r="4044" spans="1:1">
      <c r="A4044" s="5" t="s">
        <v>111</v>
      </c>
    </row>
    <row r="4045" spans="1:1">
      <c r="A4045" s="6"/>
    </row>
    <row r="4046" spans="1:1">
      <c r="A4046" s="5" t="s">
        <v>19</v>
      </c>
    </row>
    <row r="4047" spans="1:1">
      <c r="A4047" s="5" t="s">
        <v>20</v>
      </c>
    </row>
    <row r="4048" spans="1:1">
      <c r="A4048" s="5" t="s">
        <v>21</v>
      </c>
    </row>
    <row r="4049" spans="1:1">
      <c r="A4049" s="5" t="s">
        <v>22</v>
      </c>
    </row>
    <row r="4050" spans="1:1">
      <c r="A4050" s="5" t="s">
        <v>23</v>
      </c>
    </row>
    <row r="4051" spans="1:1">
      <c r="A4051" s="5" t="s">
        <v>24</v>
      </c>
    </row>
    <row r="4052" spans="1:1">
      <c r="A4052" s="5" t="s">
        <v>25</v>
      </c>
    </row>
    <row r="4053" spans="1:1">
      <c r="A4053" s="5" t="s">
        <v>26</v>
      </c>
    </row>
    <row r="4054" spans="1:1">
      <c r="A4054" s="5" t="s">
        <v>27</v>
      </c>
    </row>
    <row r="4055" spans="1:1">
      <c r="A4055" s="5" t="s">
        <v>6</v>
      </c>
    </row>
    <row r="4056" spans="1:1">
      <c r="A4056" s="5" t="s">
        <v>28</v>
      </c>
    </row>
    <row r="4057" spans="1:1">
      <c r="A4057" s="5" t="s">
        <v>29</v>
      </c>
    </row>
    <row r="4058" spans="1:1">
      <c r="A4058" s="6"/>
    </row>
    <row r="4059" spans="1:1">
      <c r="A4059" s="6"/>
    </row>
    <row r="4060" spans="1:1">
      <c r="A4060" s="5" t="s">
        <v>6</v>
      </c>
    </row>
    <row r="4061" spans="1:1">
      <c r="A4061" s="5" t="s">
        <v>30</v>
      </c>
    </row>
    <row r="4062" spans="1:1">
      <c r="A4062" s="6"/>
    </row>
    <row r="4063" spans="1:1">
      <c r="A4063" s="5" t="s">
        <v>31</v>
      </c>
    </row>
    <row r="4064" spans="1:1">
      <c r="A4064" s="5" t="s">
        <v>32</v>
      </c>
    </row>
    <row r="4065" spans="1:1">
      <c r="A4065" s="5" t="s">
        <v>33</v>
      </c>
    </row>
    <row r="4066" spans="1:1">
      <c r="A4066" s="5" t="s">
        <v>34</v>
      </c>
    </row>
    <row r="4067" spans="1:1">
      <c r="A4067" s="5" t="s">
        <v>35</v>
      </c>
    </row>
    <row r="4068" spans="1:1">
      <c r="A4068" s="5" t="s">
        <v>36</v>
      </c>
    </row>
    <row r="4069" spans="1:1">
      <c r="A4069" s="5" t="s">
        <v>37</v>
      </c>
    </row>
    <row r="4070" spans="1:1">
      <c r="A4070" s="5" t="s">
        <v>38</v>
      </c>
    </row>
    <row r="4071" spans="1:1">
      <c r="A4071" s="5" t="s">
        <v>39</v>
      </c>
    </row>
    <row r="4072" spans="1:1">
      <c r="A4072" s="6"/>
    </row>
    <row r="4073" spans="1:1">
      <c r="A4073" s="5" t="s">
        <v>368</v>
      </c>
    </row>
    <row r="4074" spans="1:1">
      <c r="A4074" s="5" t="s">
        <v>369</v>
      </c>
    </row>
    <row r="4075" spans="1:1">
      <c r="A4075" s="6"/>
    </row>
    <row r="4076" spans="1:1">
      <c r="A4076" s="6"/>
    </row>
    <row r="4077" spans="1:1">
      <c r="A4077" s="5" t="s">
        <v>3</v>
      </c>
    </row>
    <row r="4078" spans="1:1">
      <c r="A4078" s="5" t="s">
        <v>4</v>
      </c>
    </row>
    <row r="4079" spans="1:1">
      <c r="A4079" s="5" t="s">
        <v>5</v>
      </c>
    </row>
    <row r="4080" spans="1:1">
      <c r="A4080" s="5" t="s">
        <v>6</v>
      </c>
    </row>
    <row r="4081" spans="1:1">
      <c r="A4081" s="5" t="s">
        <v>7</v>
      </c>
    </row>
    <row r="4082" spans="1:1">
      <c r="A4082" s="5" t="s">
        <v>6</v>
      </c>
    </row>
    <row r="4083" spans="1:1">
      <c r="A4083" s="5" t="s">
        <v>370</v>
      </c>
    </row>
    <row r="4084" spans="1:1">
      <c r="A4084" s="5" t="s">
        <v>371</v>
      </c>
    </row>
    <row r="4085" spans="1:1">
      <c r="A4085" s="6"/>
    </row>
    <row r="4086" spans="1:1">
      <c r="A4086" s="5" t="s">
        <v>372</v>
      </c>
    </row>
    <row r="4087" spans="1:1">
      <c r="A4087" s="5" t="s">
        <v>172</v>
      </c>
    </row>
    <row r="4088" spans="1:1">
      <c r="A4088" s="5" t="s">
        <v>373</v>
      </c>
    </row>
    <row r="4089" spans="1:1">
      <c r="A4089" s="5" t="s">
        <v>374</v>
      </c>
    </row>
    <row r="4090" spans="1:1">
      <c r="A4090" s="5" t="s">
        <v>172</v>
      </c>
    </row>
    <row r="4091" spans="1:1">
      <c r="A4091" s="5" t="s">
        <v>373</v>
      </c>
    </row>
    <row r="4092" spans="1:1">
      <c r="A4092" s="5" t="s">
        <v>375</v>
      </c>
    </row>
    <row r="4093" spans="1:1">
      <c r="A4093" s="5" t="s">
        <v>172</v>
      </c>
    </row>
    <row r="4094" spans="1:1">
      <c r="A4094" s="5" t="s">
        <v>373</v>
      </c>
    </row>
    <row r="4095" spans="1:1">
      <c r="A4095" s="5" t="s">
        <v>15</v>
      </c>
    </row>
    <row r="4096" spans="1:1">
      <c r="A4096" s="5" t="s">
        <v>376</v>
      </c>
    </row>
    <row r="4097" spans="1:1">
      <c r="A4097" s="5" t="s">
        <v>6</v>
      </c>
    </row>
    <row r="4098" spans="1:1">
      <c r="A4098" s="5" t="s">
        <v>377</v>
      </c>
    </row>
    <row r="4099" spans="1:1">
      <c r="A4099" s="5" t="s">
        <v>378</v>
      </c>
    </row>
    <row r="4100" spans="1:1">
      <c r="A4100" s="5" t="s">
        <v>379</v>
      </c>
    </row>
    <row r="4101" spans="1:1">
      <c r="A4101" s="6"/>
    </row>
    <row r="4102" spans="1:1">
      <c r="A4102" s="5" t="s">
        <v>18</v>
      </c>
    </row>
    <row r="4103" spans="1:1">
      <c r="A4103" s="7">
        <v>119901</v>
      </c>
    </row>
    <row r="4104" spans="1:1">
      <c r="A4104" s="6"/>
    </row>
    <row r="4105" spans="1:1">
      <c r="A4105" s="5" t="s">
        <v>19</v>
      </c>
    </row>
    <row r="4106" spans="1:1">
      <c r="A4106" s="5" t="s">
        <v>20</v>
      </c>
    </row>
    <row r="4107" spans="1:1">
      <c r="A4107" s="5" t="s">
        <v>21</v>
      </c>
    </row>
    <row r="4108" spans="1:1">
      <c r="A4108" s="5" t="s">
        <v>22</v>
      </c>
    </row>
    <row r="4109" spans="1:1">
      <c r="A4109" s="5" t="s">
        <v>23</v>
      </c>
    </row>
    <row r="4110" spans="1:1">
      <c r="A4110" s="5" t="s">
        <v>24</v>
      </c>
    </row>
    <row r="4111" spans="1:1">
      <c r="A4111" s="5" t="s">
        <v>25</v>
      </c>
    </row>
    <row r="4112" spans="1:1">
      <c r="A4112" s="5" t="s">
        <v>26</v>
      </c>
    </row>
    <row r="4113" spans="1:1">
      <c r="A4113" s="5" t="s">
        <v>27</v>
      </c>
    </row>
    <row r="4114" spans="1:1">
      <c r="A4114" s="5" t="s">
        <v>6</v>
      </c>
    </row>
    <row r="4115" spans="1:1">
      <c r="A4115" s="5" t="s">
        <v>28</v>
      </c>
    </row>
    <row r="4116" spans="1:1">
      <c r="A4116" s="5" t="s">
        <v>29</v>
      </c>
    </row>
    <row r="4117" spans="1:1">
      <c r="A4117" s="6"/>
    </row>
    <row r="4118" spans="1:1">
      <c r="A4118" s="6"/>
    </row>
    <row r="4119" spans="1:1">
      <c r="A4119" s="5" t="s">
        <v>6</v>
      </c>
    </row>
    <row r="4120" spans="1:1">
      <c r="A4120" s="5" t="s">
        <v>30</v>
      </c>
    </row>
    <row r="4121" spans="1:1">
      <c r="A4121" s="6"/>
    </row>
    <row r="4122" spans="1:1">
      <c r="A4122" s="5" t="s">
        <v>31</v>
      </c>
    </row>
    <row r="4123" spans="1:1">
      <c r="A4123" s="5" t="s">
        <v>32</v>
      </c>
    </row>
    <row r="4124" spans="1:1">
      <c r="A4124" s="5" t="s">
        <v>33</v>
      </c>
    </row>
    <row r="4125" spans="1:1">
      <c r="A4125" s="5" t="s">
        <v>34</v>
      </c>
    </row>
    <row r="4126" spans="1:1">
      <c r="A4126" s="5" t="s">
        <v>35</v>
      </c>
    </row>
    <row r="4127" spans="1:1">
      <c r="A4127" s="5" t="s">
        <v>36</v>
      </c>
    </row>
    <row r="4128" spans="1:1">
      <c r="A4128" s="5" t="s">
        <v>37</v>
      </c>
    </row>
    <row r="4129" spans="1:1">
      <c r="A4129" s="5" t="s">
        <v>38</v>
      </c>
    </row>
    <row r="4130" spans="1:1">
      <c r="A4130" s="5" t="s">
        <v>39</v>
      </c>
    </row>
    <row r="4131" spans="1:1">
      <c r="A4131" s="6"/>
    </row>
    <row r="4132" spans="1:1">
      <c r="A4132" s="5" t="s">
        <v>370</v>
      </c>
    </row>
    <row r="4133" spans="1:1">
      <c r="A4133" s="5" t="s">
        <v>371</v>
      </c>
    </row>
    <row r="4134" spans="1:1">
      <c r="A4134" s="6"/>
    </row>
    <row r="4135" spans="1:1">
      <c r="A4135" s="6"/>
    </row>
    <row r="4136" spans="1:1">
      <c r="A4136" s="6"/>
    </row>
    <row r="4137" spans="1:1">
      <c r="A4137" s="6"/>
    </row>
    <row r="4138" spans="1:1">
      <c r="A4138" s="5" t="s">
        <v>6</v>
      </c>
    </row>
    <row r="4139" spans="1:1">
      <c r="A4139" s="5" t="s">
        <v>40</v>
      </c>
    </row>
    <row r="4140" spans="1:1">
      <c r="A4140" s="6"/>
    </row>
    <row r="4141" spans="1:1">
      <c r="A4141" s="5" t="s">
        <v>41</v>
      </c>
    </row>
    <row r="4142" spans="1:1">
      <c r="A4142" s="6"/>
    </row>
    <row r="4143" spans="1:1">
      <c r="A4143" s="5" t="s">
        <v>42</v>
      </c>
    </row>
    <row r="4144" spans="1:1">
      <c r="A4144" s="6"/>
    </row>
    <row r="4145" spans="1:1">
      <c r="A4145" s="5" t="s">
        <v>43</v>
      </c>
    </row>
    <row r="4146" spans="1:1">
      <c r="A4146" s="5" t="s">
        <v>44</v>
      </c>
    </row>
    <row r="4147" spans="1:1">
      <c r="A4147" s="5" t="s">
        <v>45</v>
      </c>
    </row>
    <row r="4148" spans="1:1">
      <c r="A4148" s="5" t="s">
        <v>46</v>
      </c>
    </row>
    <row r="4149" spans="1:1">
      <c r="A4149" s="5" t="s">
        <v>47</v>
      </c>
    </row>
    <row r="4150" spans="1:1">
      <c r="A4150" s="5" t="s">
        <v>37</v>
      </c>
    </row>
    <row r="4151" spans="1:1">
      <c r="A4151" s="6"/>
    </row>
    <row r="4152" spans="1:1">
      <c r="A4152" s="5" t="s">
        <v>370</v>
      </c>
    </row>
    <row r="4153" spans="1:1">
      <c r="A4153" s="5" t="s">
        <v>371</v>
      </c>
    </row>
    <row r="4154" spans="1:1">
      <c r="A4154" s="6"/>
    </row>
    <row r="4155" spans="1:1">
      <c r="A4155" s="6"/>
    </row>
    <row r="4156" spans="1:1">
      <c r="A4156" s="5" t="s">
        <v>3</v>
      </c>
    </row>
    <row r="4157" spans="1:1">
      <c r="A4157" s="5" t="s">
        <v>4</v>
      </c>
    </row>
    <row r="4158" spans="1:1">
      <c r="A4158" s="5" t="s">
        <v>5</v>
      </c>
    </row>
    <row r="4159" spans="1:1">
      <c r="A4159" s="5" t="s">
        <v>6</v>
      </c>
    </row>
    <row r="4160" spans="1:1">
      <c r="A4160" s="5" t="s">
        <v>7</v>
      </c>
    </row>
    <row r="4161" spans="1:1">
      <c r="A4161" s="5" t="s">
        <v>6</v>
      </c>
    </row>
    <row r="4162" spans="1:1">
      <c r="A4162" s="5" t="s">
        <v>380</v>
      </c>
    </row>
    <row r="4163" spans="1:1">
      <c r="A4163" s="5" t="s">
        <v>381</v>
      </c>
    </row>
    <row r="4164" spans="1:1">
      <c r="A4164" s="6"/>
    </row>
    <row r="4165" spans="1:1">
      <c r="A4165" s="6"/>
    </row>
    <row r="4166" spans="1:1">
      <c r="A4166" s="5" t="s">
        <v>317</v>
      </c>
    </row>
    <row r="4167" spans="1:1">
      <c r="A4167" s="5" t="s">
        <v>382</v>
      </c>
    </row>
    <row r="4168" spans="1:1">
      <c r="A4168" s="5" t="s">
        <v>319</v>
      </c>
    </row>
    <row r="4169" spans="1:1">
      <c r="A4169" s="5" t="s">
        <v>383</v>
      </c>
    </row>
    <row r="4170" spans="1:1">
      <c r="A4170" s="5" t="s">
        <v>384</v>
      </c>
    </row>
    <row r="4171" spans="1:1">
      <c r="A4171" s="5" t="s">
        <v>385</v>
      </c>
    </row>
    <row r="4172" spans="1:1">
      <c r="A4172" s="5" t="s">
        <v>321</v>
      </c>
    </row>
    <row r="4173" spans="1:1">
      <c r="A4173" s="6"/>
    </row>
    <row r="4174" spans="1:1">
      <c r="A4174" s="5" t="s">
        <v>322</v>
      </c>
    </row>
    <row r="4175" spans="1:1">
      <c r="A4175" s="5" t="s">
        <v>323</v>
      </c>
    </row>
    <row r="4176" spans="1:1">
      <c r="A4176" s="5" t="s">
        <v>324</v>
      </c>
    </row>
    <row r="4177" spans="1:1">
      <c r="A4177" s="5" t="s">
        <v>386</v>
      </c>
    </row>
    <row r="4178" spans="1:1">
      <c r="A4178" s="5" t="s">
        <v>326</v>
      </c>
    </row>
    <row r="4179" spans="1:1">
      <c r="A4179" s="5" t="s">
        <v>327</v>
      </c>
    </row>
    <row r="4180" spans="1:1">
      <c r="A4180" s="5" t="s">
        <v>328</v>
      </c>
    </row>
    <row r="4181" spans="1:1">
      <c r="A4181" s="5" t="s">
        <v>387</v>
      </c>
    </row>
    <row r="4182" spans="1:1">
      <c r="A4182" s="5" t="s">
        <v>3</v>
      </c>
    </row>
    <row r="4183" spans="1:1">
      <c r="A4183" s="5" t="s">
        <v>4</v>
      </c>
    </row>
    <row r="4184" spans="1:1">
      <c r="A4184" s="5" t="s">
        <v>5</v>
      </c>
    </row>
    <row r="4185" spans="1:1">
      <c r="A4185" s="5" t="s">
        <v>6</v>
      </c>
    </row>
    <row r="4186" spans="1:1">
      <c r="A4186" s="5" t="s">
        <v>7</v>
      </c>
    </row>
    <row r="4187" spans="1:1">
      <c r="A4187" s="5" t="s">
        <v>6</v>
      </c>
    </row>
    <row r="4188" spans="1:1">
      <c r="A4188" s="5" t="s">
        <v>388</v>
      </c>
    </row>
    <row r="4189" spans="1:1">
      <c r="A4189" s="5" t="s">
        <v>389</v>
      </c>
    </row>
    <row r="4190" spans="1:1">
      <c r="A4190" s="6"/>
    </row>
    <row r="4191" spans="1:1">
      <c r="A4191" s="5" t="s">
        <v>390</v>
      </c>
    </row>
    <row r="4192" spans="1:1">
      <c r="A4192" s="5" t="s">
        <v>15</v>
      </c>
    </row>
    <row r="4193" spans="1:1">
      <c r="A4193" s="5" t="s">
        <v>6</v>
      </c>
    </row>
    <row r="4194" spans="1:1">
      <c r="A4194" s="5" t="s">
        <v>110</v>
      </c>
    </row>
    <row r="4195" spans="1:1">
      <c r="A4195" s="5" t="s">
        <v>17</v>
      </c>
    </row>
    <row r="4196" spans="1:1">
      <c r="A4196" s="5" t="s">
        <v>111</v>
      </c>
    </row>
    <row r="4197" spans="1:1">
      <c r="A4197" s="5" t="s">
        <v>391</v>
      </c>
    </row>
    <row r="4198" spans="1:1">
      <c r="A4198" s="6"/>
    </row>
    <row r="4199" spans="1:1">
      <c r="A4199" s="5" t="s">
        <v>19</v>
      </c>
    </row>
    <row r="4200" spans="1:1">
      <c r="A4200" s="5" t="s">
        <v>20</v>
      </c>
    </row>
    <row r="4201" spans="1:1">
      <c r="A4201" s="5" t="s">
        <v>21</v>
      </c>
    </row>
    <row r="4202" spans="1:1">
      <c r="A4202" s="5" t="s">
        <v>22</v>
      </c>
    </row>
    <row r="4203" spans="1:1">
      <c r="A4203" s="5" t="s">
        <v>23</v>
      </c>
    </row>
    <row r="4204" spans="1:1">
      <c r="A4204" s="5" t="s">
        <v>24</v>
      </c>
    </row>
    <row r="4205" spans="1:1">
      <c r="A4205" s="5" t="s">
        <v>25</v>
      </c>
    </row>
    <row r="4206" spans="1:1">
      <c r="A4206" s="5" t="s">
        <v>26</v>
      </c>
    </row>
    <row r="4207" spans="1:1">
      <c r="A4207" s="5" t="s">
        <v>27</v>
      </c>
    </row>
    <row r="4208" spans="1:1">
      <c r="A4208" s="5" t="s">
        <v>6</v>
      </c>
    </row>
    <row r="4209" spans="1:1">
      <c r="A4209" s="5" t="s">
        <v>28</v>
      </c>
    </row>
    <row r="4210" spans="1:1">
      <c r="A4210" s="5" t="s">
        <v>29</v>
      </c>
    </row>
    <row r="4211" spans="1:1">
      <c r="A4211" s="6"/>
    </row>
    <row r="4212" spans="1:1">
      <c r="A4212" s="6"/>
    </row>
    <row r="4213" spans="1:1">
      <c r="A4213" s="5" t="s">
        <v>6</v>
      </c>
    </row>
    <row r="4214" spans="1:1">
      <c r="A4214" s="5" t="s">
        <v>30</v>
      </c>
    </row>
    <row r="4215" spans="1:1">
      <c r="A4215" s="6"/>
    </row>
    <row r="4216" spans="1:1">
      <c r="A4216" s="5" t="s">
        <v>31</v>
      </c>
    </row>
    <row r="4217" spans="1:1">
      <c r="A4217" s="5" t="s">
        <v>32</v>
      </c>
    </row>
    <row r="4218" spans="1:1">
      <c r="A4218" s="5" t="s">
        <v>33</v>
      </c>
    </row>
    <row r="4219" spans="1:1">
      <c r="A4219" s="5" t="s">
        <v>34</v>
      </c>
    </row>
    <row r="4220" spans="1:1">
      <c r="A4220" s="5" t="s">
        <v>35</v>
      </c>
    </row>
    <row r="4221" spans="1:1">
      <c r="A4221" s="5" t="s">
        <v>36</v>
      </c>
    </row>
    <row r="4222" spans="1:1">
      <c r="A4222" s="5" t="s">
        <v>37</v>
      </c>
    </row>
    <row r="4223" spans="1:1">
      <c r="A4223" s="5" t="s">
        <v>38</v>
      </c>
    </row>
    <row r="4224" spans="1:1">
      <c r="A4224" s="5" t="s">
        <v>39</v>
      </c>
    </row>
    <row r="4225" spans="1:1">
      <c r="A4225" s="6"/>
    </row>
    <row r="4226" spans="1:1">
      <c r="A4226" s="5" t="s">
        <v>388</v>
      </c>
    </row>
    <row r="4227" spans="1:1">
      <c r="A4227" s="5" t="s">
        <v>389</v>
      </c>
    </row>
    <row r="4228" spans="1:1">
      <c r="A4228" s="6"/>
    </row>
    <row r="4229" spans="1:1">
      <c r="A4229" s="6"/>
    </row>
    <row r="4230" spans="1:1">
      <c r="A4230" s="5" t="s">
        <v>3</v>
      </c>
    </row>
    <row r="4231" spans="1:1">
      <c r="A4231" s="5" t="s">
        <v>4</v>
      </c>
    </row>
    <row r="4232" spans="1:1">
      <c r="A4232" s="5" t="s">
        <v>5</v>
      </c>
    </row>
    <row r="4233" spans="1:1">
      <c r="A4233" s="5" t="s">
        <v>6</v>
      </c>
    </row>
    <row r="4234" spans="1:1">
      <c r="A4234" s="5" t="s">
        <v>7</v>
      </c>
    </row>
    <row r="4235" spans="1:1">
      <c r="A4235" s="5" t="s">
        <v>6</v>
      </c>
    </row>
    <row r="4236" spans="1:1">
      <c r="A4236" s="5" t="s">
        <v>392</v>
      </c>
    </row>
    <row r="4237" spans="1:1">
      <c r="A4237" s="5" t="s">
        <v>393</v>
      </c>
    </row>
    <row r="4238" spans="1:1">
      <c r="A4238" s="6"/>
    </row>
    <row r="4239" spans="1:1">
      <c r="A4239" s="5" t="s">
        <v>82</v>
      </c>
    </row>
    <row r="4240" spans="1:1">
      <c r="A4240" s="5" t="s">
        <v>216</v>
      </c>
    </row>
    <row r="4241" spans="1:1">
      <c r="A4241" s="5" t="s">
        <v>217</v>
      </c>
    </row>
    <row r="4242" spans="1:1">
      <c r="A4242" s="5" t="s">
        <v>394</v>
      </c>
    </row>
    <row r="4243" spans="1:1">
      <c r="A4243" s="5" t="s">
        <v>395</v>
      </c>
    </row>
    <row r="4244" spans="1:1">
      <c r="A4244" s="5" t="s">
        <v>103</v>
      </c>
    </row>
    <row r="4245" spans="1:1">
      <c r="A4245" s="5" t="s">
        <v>396</v>
      </c>
    </row>
    <row r="4246" spans="1:1">
      <c r="A4246" s="5" t="s">
        <v>6</v>
      </c>
    </row>
    <row r="4247" spans="1:1">
      <c r="A4247" s="5" t="s">
        <v>397</v>
      </c>
    </row>
    <row r="4248" spans="1:1">
      <c r="A4248" s="5" t="s">
        <v>398</v>
      </c>
    </row>
    <row r="4249" spans="1:1">
      <c r="A4249" s="5" t="s">
        <v>399</v>
      </c>
    </row>
    <row r="4250" spans="1:1">
      <c r="A4250" s="6"/>
    </row>
    <row r="4251" spans="1:1">
      <c r="A4251" s="5" t="s">
        <v>18</v>
      </c>
    </row>
    <row r="4252" spans="1:1">
      <c r="A4252" s="7">
        <v>19800</v>
      </c>
    </row>
    <row r="4253" spans="1:1">
      <c r="A4253" s="6"/>
    </row>
    <row r="4254" spans="1:1">
      <c r="A4254" s="5" t="s">
        <v>19</v>
      </c>
    </row>
    <row r="4255" spans="1:1">
      <c r="A4255" s="5" t="s">
        <v>20</v>
      </c>
    </row>
    <row r="4256" spans="1:1">
      <c r="A4256" s="5" t="s">
        <v>21</v>
      </c>
    </row>
    <row r="4257" spans="1:1">
      <c r="A4257" s="5" t="s">
        <v>22</v>
      </c>
    </row>
    <row r="4258" spans="1:1">
      <c r="A4258" s="5" t="s">
        <v>23</v>
      </c>
    </row>
    <row r="4259" spans="1:1">
      <c r="A4259" s="5" t="s">
        <v>24</v>
      </c>
    </row>
    <row r="4260" spans="1:1">
      <c r="A4260" s="5" t="s">
        <v>25</v>
      </c>
    </row>
    <row r="4261" spans="1:1">
      <c r="A4261" s="5" t="s">
        <v>26</v>
      </c>
    </row>
    <row r="4262" spans="1:1">
      <c r="A4262" s="5" t="s">
        <v>27</v>
      </c>
    </row>
    <row r="4263" spans="1:1">
      <c r="A4263" s="5" t="s">
        <v>6</v>
      </c>
    </row>
    <row r="4264" spans="1:1">
      <c r="A4264" s="5" t="s">
        <v>28</v>
      </c>
    </row>
    <row r="4265" spans="1:1">
      <c r="A4265" s="5" t="s">
        <v>29</v>
      </c>
    </row>
    <row r="4266" spans="1:1">
      <c r="A4266" s="6"/>
    </row>
    <row r="4267" spans="1:1">
      <c r="A4267" s="6"/>
    </row>
    <row r="4268" spans="1:1">
      <c r="A4268" s="5" t="s">
        <v>6</v>
      </c>
    </row>
    <row r="4269" spans="1:1">
      <c r="A4269" s="5" t="s">
        <v>30</v>
      </c>
    </row>
    <row r="4270" spans="1:1">
      <c r="A4270" s="6"/>
    </row>
    <row r="4271" spans="1:1">
      <c r="A4271" s="5" t="s">
        <v>31</v>
      </c>
    </row>
    <row r="4272" spans="1:1">
      <c r="A4272" s="5" t="s">
        <v>32</v>
      </c>
    </row>
    <row r="4273" spans="1:1">
      <c r="A4273" s="5" t="s">
        <v>33</v>
      </c>
    </row>
    <row r="4274" spans="1:1">
      <c r="A4274" s="5" t="s">
        <v>34</v>
      </c>
    </row>
    <row r="4275" spans="1:1">
      <c r="A4275" s="5" t="s">
        <v>35</v>
      </c>
    </row>
    <row r="4276" spans="1:1">
      <c r="A4276" s="5" t="s">
        <v>36</v>
      </c>
    </row>
    <row r="4277" spans="1:1">
      <c r="A4277" s="5" t="s">
        <v>37</v>
      </c>
    </row>
    <row r="4278" spans="1:1">
      <c r="A4278" s="5" t="s">
        <v>38</v>
      </c>
    </row>
    <row r="4279" spans="1:1">
      <c r="A4279" s="5" t="s">
        <v>39</v>
      </c>
    </row>
    <row r="4280" spans="1:1">
      <c r="A4280" s="6"/>
    </row>
    <row r="4281" spans="1:1">
      <c r="A4281" s="5" t="s">
        <v>392</v>
      </c>
    </row>
    <row r="4282" spans="1:1">
      <c r="A4282" s="5" t="s">
        <v>393</v>
      </c>
    </row>
    <row r="4283" spans="1:1">
      <c r="A4283" s="6"/>
    </row>
    <row r="4284" spans="1:1">
      <c r="A4284" s="6"/>
    </row>
    <row r="4285" spans="1:1">
      <c r="A4285" s="6"/>
    </row>
    <row r="4286" spans="1:1">
      <c r="A4286" s="6"/>
    </row>
    <row r="4287" spans="1:1">
      <c r="A4287" s="5" t="s">
        <v>6</v>
      </c>
    </row>
    <row r="4288" spans="1:1">
      <c r="A4288" s="5" t="s">
        <v>40</v>
      </c>
    </row>
    <row r="4289" spans="1:1">
      <c r="A4289" s="6"/>
    </row>
    <row r="4290" spans="1:1">
      <c r="A4290" s="5" t="s">
        <v>41</v>
      </c>
    </row>
    <row r="4291" spans="1:1">
      <c r="A4291" s="6"/>
    </row>
    <row r="4292" spans="1:1">
      <c r="A4292" s="5" t="s">
        <v>42</v>
      </c>
    </row>
    <row r="4293" spans="1:1">
      <c r="A4293" s="6"/>
    </row>
    <row r="4294" spans="1:1">
      <c r="A4294" s="5" t="s">
        <v>43</v>
      </c>
    </row>
    <row r="4295" spans="1:1">
      <c r="A4295" s="5" t="s">
        <v>44</v>
      </c>
    </row>
    <row r="4296" spans="1:1">
      <c r="A4296" s="5" t="s">
        <v>45</v>
      </c>
    </row>
    <row r="4297" spans="1:1">
      <c r="A4297" s="5" t="s">
        <v>46</v>
      </c>
    </row>
    <row r="4298" spans="1:1">
      <c r="A4298" s="5" t="s">
        <v>47</v>
      </c>
    </row>
    <row r="4299" spans="1:1">
      <c r="A4299" s="5" t="s">
        <v>37</v>
      </c>
    </row>
    <row r="4300" spans="1:1">
      <c r="A4300" s="6"/>
    </row>
    <row r="4301" spans="1:1">
      <c r="A4301" s="5" t="s">
        <v>392</v>
      </c>
    </row>
    <row r="4302" spans="1:1">
      <c r="A4302" s="5" t="s">
        <v>393</v>
      </c>
    </row>
    <row r="4303" spans="1:1">
      <c r="A4303" s="6"/>
    </row>
    <row r="4304" spans="1:1">
      <c r="A4304" s="6"/>
    </row>
    <row r="4305" spans="1:1">
      <c r="A4305" s="5" t="s">
        <v>3</v>
      </c>
    </row>
    <row r="4306" spans="1:1">
      <c r="A4306" s="5" t="s">
        <v>4</v>
      </c>
    </row>
    <row r="4307" spans="1:1">
      <c r="A4307" s="5" t="s">
        <v>5</v>
      </c>
    </row>
    <row r="4308" spans="1:1">
      <c r="A4308" s="5" t="s">
        <v>6</v>
      </c>
    </row>
    <row r="4309" spans="1:1">
      <c r="A4309" s="5" t="s">
        <v>7</v>
      </c>
    </row>
    <row r="4310" spans="1:1">
      <c r="A4310" s="5" t="s">
        <v>6</v>
      </c>
    </row>
    <row r="4311" spans="1:1">
      <c r="A4311" s="5" t="s">
        <v>400</v>
      </c>
    </row>
    <row r="4312" spans="1:1">
      <c r="A4312" s="5" t="s">
        <v>401</v>
      </c>
    </row>
    <row r="4313" spans="1:1">
      <c r="A4313" s="6"/>
    </row>
    <row r="4314" spans="1:1">
      <c r="A4314" s="5" t="s">
        <v>402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68FE-5837-42B4-BBB6-CBA2C1193357}">
  <sheetPr filterMode="1"/>
  <dimension ref="A1:I4315"/>
  <sheetViews>
    <sheetView topLeftCell="H1" workbookViewId="0">
      <selection activeCell="H1472" sqref="H1472"/>
    </sheetView>
  </sheetViews>
  <sheetFormatPr defaultRowHeight="15"/>
  <cols>
    <col min="1" max="7" width="0" hidden="1" customWidth="1"/>
  </cols>
  <sheetData>
    <row r="1" spans="1:9">
      <c r="A1" s="1"/>
      <c r="B1" s="2" t="s">
        <v>0</v>
      </c>
      <c r="H1" s="1"/>
      <c r="I1" s="2" t="s">
        <v>0</v>
      </c>
    </row>
    <row r="2" spans="1:9" hidden="1">
      <c r="A2" s="1"/>
      <c r="B2" s="3" t="s">
        <v>1</v>
      </c>
      <c r="H2" s="7">
        <v>19800</v>
      </c>
    </row>
    <row r="3" spans="1:9" hidden="1">
      <c r="A3" s="1"/>
      <c r="B3" s="4" t="s">
        <v>2</v>
      </c>
      <c r="H3" s="7">
        <v>19800</v>
      </c>
    </row>
    <row r="4" spans="1:9" hidden="1">
      <c r="H4" s="7">
        <v>23980</v>
      </c>
    </row>
    <row r="5" spans="1:9" hidden="1">
      <c r="A5" s="5" t="s">
        <v>3</v>
      </c>
      <c r="H5" s="7">
        <v>25000</v>
      </c>
    </row>
    <row r="6" spans="1:9" hidden="1">
      <c r="A6" s="5" t="s">
        <v>4</v>
      </c>
      <c r="H6" s="7">
        <v>25000</v>
      </c>
    </row>
    <row r="7" spans="1:9" hidden="1">
      <c r="A7" s="5" t="s">
        <v>5</v>
      </c>
      <c r="H7" s="7">
        <v>30000</v>
      </c>
    </row>
    <row r="8" spans="1:9" hidden="1">
      <c r="A8" s="5" t="s">
        <v>6</v>
      </c>
      <c r="H8" s="7">
        <v>30000</v>
      </c>
    </row>
    <row r="9" spans="1:9" hidden="1">
      <c r="A9" s="5" t="s">
        <v>7</v>
      </c>
      <c r="H9" s="7">
        <v>37500</v>
      </c>
    </row>
    <row r="10" spans="1:9" hidden="1">
      <c r="A10" s="5" t="s">
        <v>6</v>
      </c>
      <c r="H10" s="7">
        <v>45000</v>
      </c>
    </row>
    <row r="11" spans="1:9" hidden="1">
      <c r="A11" s="5" t="s">
        <v>8</v>
      </c>
      <c r="H11" s="7">
        <v>45000</v>
      </c>
    </row>
    <row r="12" spans="1:9" hidden="1">
      <c r="A12" s="5" t="s">
        <v>9</v>
      </c>
      <c r="H12" s="7">
        <v>45000</v>
      </c>
    </row>
    <row r="13" spans="1:9" hidden="1">
      <c r="A13" s="6"/>
      <c r="H13" s="7">
        <v>45000</v>
      </c>
    </row>
    <row r="14" spans="1:9" hidden="1">
      <c r="A14" s="5" t="s">
        <v>3</v>
      </c>
      <c r="H14" s="7">
        <v>45000</v>
      </c>
    </row>
    <row r="15" spans="1:9" hidden="1">
      <c r="A15" s="5" t="s">
        <v>4</v>
      </c>
      <c r="H15" s="7">
        <v>45000</v>
      </c>
    </row>
    <row r="16" spans="1:9" hidden="1">
      <c r="A16" s="5" t="s">
        <v>5</v>
      </c>
      <c r="H16" s="7">
        <v>45000</v>
      </c>
    </row>
    <row r="17" spans="1:8" hidden="1">
      <c r="A17" s="5" t="s">
        <v>6</v>
      </c>
      <c r="H17" s="7">
        <v>49899</v>
      </c>
    </row>
    <row r="18" spans="1:8" hidden="1">
      <c r="A18" s="5" t="s">
        <v>7</v>
      </c>
      <c r="H18" s="7">
        <v>79800</v>
      </c>
    </row>
    <row r="19" spans="1:8" hidden="1">
      <c r="A19" s="5" t="s">
        <v>6</v>
      </c>
      <c r="H19" s="7">
        <v>79899</v>
      </c>
    </row>
    <row r="20" spans="1:8" hidden="1">
      <c r="A20" s="5" t="s">
        <v>10</v>
      </c>
      <c r="H20" s="7">
        <v>79900</v>
      </c>
    </row>
    <row r="21" spans="1:8" hidden="1">
      <c r="A21" s="5" t="s">
        <v>11</v>
      </c>
      <c r="H21" s="7">
        <v>100000</v>
      </c>
    </row>
    <row r="22" spans="1:8" hidden="1">
      <c r="A22" s="6"/>
      <c r="H22" s="7">
        <v>100000</v>
      </c>
    </row>
    <row r="23" spans="1:8" hidden="1">
      <c r="A23" s="5" t="s">
        <v>12</v>
      </c>
      <c r="H23" s="7">
        <v>100000</v>
      </c>
    </row>
    <row r="24" spans="1:8" hidden="1">
      <c r="A24" s="5" t="s">
        <v>13</v>
      </c>
      <c r="H24" s="7">
        <v>100000</v>
      </c>
    </row>
    <row r="25" spans="1:8" hidden="1">
      <c r="A25" s="5" t="s">
        <v>14</v>
      </c>
      <c r="H25" s="7">
        <v>100000</v>
      </c>
    </row>
    <row r="26" spans="1:8" hidden="1">
      <c r="A26" s="5" t="s">
        <v>15</v>
      </c>
      <c r="H26" s="7">
        <v>100000</v>
      </c>
    </row>
    <row r="27" spans="1:8" hidden="1">
      <c r="A27" s="5" t="s">
        <v>6</v>
      </c>
      <c r="H27" s="7">
        <v>100000</v>
      </c>
    </row>
    <row r="28" spans="1:8" hidden="1">
      <c r="A28" s="5" t="s">
        <v>16</v>
      </c>
      <c r="H28" s="7">
        <v>100000</v>
      </c>
    </row>
    <row r="29" spans="1:8" hidden="1">
      <c r="A29" s="5" t="s">
        <v>17</v>
      </c>
      <c r="H29" s="7">
        <v>100000</v>
      </c>
    </row>
    <row r="30" spans="1:8" hidden="1">
      <c r="A30" s="6"/>
      <c r="H30" s="7">
        <v>119901</v>
      </c>
    </row>
    <row r="31" spans="1:8" hidden="1">
      <c r="A31" s="5" t="s">
        <v>18</v>
      </c>
      <c r="H31" s="7">
        <v>181860</v>
      </c>
    </row>
    <row r="32" spans="1:8" hidden="1">
      <c r="A32" s="7">
        <v>100000</v>
      </c>
      <c r="H32" s="7">
        <v>181860</v>
      </c>
    </row>
    <row r="33" spans="1:8" hidden="1">
      <c r="A33" s="6"/>
      <c r="H33" s="7">
        <v>230860</v>
      </c>
    </row>
    <row r="34" spans="1:8" hidden="1">
      <c r="A34" s="5" t="s">
        <v>19</v>
      </c>
      <c r="H34" s="7">
        <v>525240</v>
      </c>
    </row>
    <row r="35" spans="1:8" hidden="1">
      <c r="A35" s="5" t="s">
        <v>20</v>
      </c>
      <c r="H35" s="7">
        <v>526240</v>
      </c>
    </row>
    <row r="36" spans="1:8" hidden="1">
      <c r="A36" s="5" t="s">
        <v>21</v>
      </c>
      <c r="H36" s="5" t="s">
        <v>6</v>
      </c>
    </row>
    <row r="37" spans="1:8" hidden="1">
      <c r="A37" s="5" t="s">
        <v>22</v>
      </c>
      <c r="H37" s="5" t="s">
        <v>6</v>
      </c>
    </row>
    <row r="38" spans="1:8" hidden="1">
      <c r="A38" s="5" t="s">
        <v>23</v>
      </c>
      <c r="H38" s="5" t="s">
        <v>6</v>
      </c>
    </row>
    <row r="39" spans="1:8" hidden="1">
      <c r="A39" s="5" t="s">
        <v>24</v>
      </c>
      <c r="H39" s="5" t="s">
        <v>6</v>
      </c>
    </row>
    <row r="40" spans="1:8" hidden="1">
      <c r="A40" s="5" t="s">
        <v>25</v>
      </c>
      <c r="H40" s="5" t="s">
        <v>6</v>
      </c>
    </row>
    <row r="41" spans="1:8" hidden="1">
      <c r="A41" s="5" t="s">
        <v>26</v>
      </c>
      <c r="H41" s="5" t="s">
        <v>6</v>
      </c>
    </row>
    <row r="42" spans="1:8" hidden="1">
      <c r="A42" s="5" t="s">
        <v>27</v>
      </c>
      <c r="H42" s="5" t="s">
        <v>6</v>
      </c>
    </row>
    <row r="43" spans="1:8" hidden="1">
      <c r="A43" s="5" t="s">
        <v>6</v>
      </c>
      <c r="H43" s="5" t="s">
        <v>6</v>
      </c>
    </row>
    <row r="44" spans="1:8" hidden="1">
      <c r="A44" s="5" t="s">
        <v>28</v>
      </c>
      <c r="H44" s="5" t="s">
        <v>6</v>
      </c>
    </row>
    <row r="45" spans="1:8" hidden="1">
      <c r="A45" s="5" t="s">
        <v>29</v>
      </c>
      <c r="H45" s="5" t="s">
        <v>6</v>
      </c>
    </row>
    <row r="46" spans="1:8" hidden="1">
      <c r="A46" s="6"/>
      <c r="H46" s="5" t="s">
        <v>6</v>
      </c>
    </row>
    <row r="47" spans="1:8" hidden="1">
      <c r="A47" s="6"/>
      <c r="H47" s="5" t="s">
        <v>6</v>
      </c>
    </row>
    <row r="48" spans="1:8" hidden="1">
      <c r="A48" s="5" t="s">
        <v>6</v>
      </c>
      <c r="H48" s="5" t="s">
        <v>6</v>
      </c>
    </row>
    <row r="49" spans="1:8" hidden="1">
      <c r="A49" s="5" t="s">
        <v>30</v>
      </c>
      <c r="H49" s="5" t="s">
        <v>6</v>
      </c>
    </row>
    <row r="50" spans="1:8" hidden="1">
      <c r="A50" s="6"/>
      <c r="H50" s="5" t="s">
        <v>6</v>
      </c>
    </row>
    <row r="51" spans="1:8" hidden="1">
      <c r="A51" s="5" t="s">
        <v>31</v>
      </c>
      <c r="H51" s="5" t="s">
        <v>6</v>
      </c>
    </row>
    <row r="52" spans="1:8" hidden="1">
      <c r="A52" s="5" t="s">
        <v>32</v>
      </c>
      <c r="H52" s="5" t="s">
        <v>6</v>
      </c>
    </row>
    <row r="53" spans="1:8" hidden="1">
      <c r="A53" s="5" t="s">
        <v>33</v>
      </c>
      <c r="H53" s="5" t="s">
        <v>6</v>
      </c>
    </row>
    <row r="54" spans="1:8" hidden="1">
      <c r="A54" s="5" t="s">
        <v>34</v>
      </c>
      <c r="H54" s="5" t="s">
        <v>6</v>
      </c>
    </row>
    <row r="55" spans="1:8" hidden="1">
      <c r="A55" s="5" t="s">
        <v>35</v>
      </c>
      <c r="H55" s="5" t="s">
        <v>6</v>
      </c>
    </row>
    <row r="56" spans="1:8" hidden="1">
      <c r="A56" s="5" t="s">
        <v>36</v>
      </c>
      <c r="H56" s="5" t="s">
        <v>6</v>
      </c>
    </row>
    <row r="57" spans="1:8" hidden="1">
      <c r="A57" s="5" t="s">
        <v>37</v>
      </c>
      <c r="H57" s="5" t="s">
        <v>6</v>
      </c>
    </row>
    <row r="58" spans="1:8" hidden="1">
      <c r="A58" s="5" t="s">
        <v>38</v>
      </c>
      <c r="H58" s="5" t="s">
        <v>6</v>
      </c>
    </row>
    <row r="59" spans="1:8" hidden="1">
      <c r="A59" s="5" t="s">
        <v>39</v>
      </c>
      <c r="H59" s="5" t="s">
        <v>6</v>
      </c>
    </row>
    <row r="60" spans="1:8" hidden="1">
      <c r="A60" s="6"/>
      <c r="H60" s="5" t="s">
        <v>6</v>
      </c>
    </row>
    <row r="61" spans="1:8" hidden="1">
      <c r="A61" s="5" t="s">
        <v>10</v>
      </c>
      <c r="H61" s="5" t="s">
        <v>6</v>
      </c>
    </row>
    <row r="62" spans="1:8" hidden="1">
      <c r="A62" s="5" t="s">
        <v>11</v>
      </c>
      <c r="H62" s="5" t="s">
        <v>6</v>
      </c>
    </row>
    <row r="63" spans="1:8" hidden="1">
      <c r="A63" s="6"/>
      <c r="H63" s="5" t="s">
        <v>6</v>
      </c>
    </row>
    <row r="64" spans="1:8" hidden="1">
      <c r="A64" s="6"/>
      <c r="H64" s="5" t="s">
        <v>6</v>
      </c>
    </row>
    <row r="65" spans="1:8" hidden="1">
      <c r="A65" s="6"/>
      <c r="H65" s="5" t="s">
        <v>6</v>
      </c>
    </row>
    <row r="66" spans="1:8" hidden="1">
      <c r="A66" s="6"/>
      <c r="H66" s="5" t="s">
        <v>6</v>
      </c>
    </row>
    <row r="67" spans="1:8" hidden="1">
      <c r="A67" s="5" t="s">
        <v>6</v>
      </c>
      <c r="H67" s="5" t="s">
        <v>6</v>
      </c>
    </row>
    <row r="68" spans="1:8" hidden="1">
      <c r="A68" s="5" t="s">
        <v>40</v>
      </c>
      <c r="H68" s="5" t="s">
        <v>6</v>
      </c>
    </row>
    <row r="69" spans="1:8" hidden="1">
      <c r="A69" s="6"/>
      <c r="H69" s="5" t="s">
        <v>6</v>
      </c>
    </row>
    <row r="70" spans="1:8" hidden="1">
      <c r="A70" s="5" t="s">
        <v>41</v>
      </c>
      <c r="H70" s="5" t="s">
        <v>6</v>
      </c>
    </row>
    <row r="71" spans="1:8" hidden="1">
      <c r="A71" s="6"/>
      <c r="H71" s="5" t="s">
        <v>6</v>
      </c>
    </row>
    <row r="72" spans="1:8" hidden="1">
      <c r="A72" s="5" t="s">
        <v>42</v>
      </c>
      <c r="H72" s="5" t="s">
        <v>6</v>
      </c>
    </row>
    <row r="73" spans="1:8" hidden="1">
      <c r="A73" s="6"/>
      <c r="H73" s="5" t="s">
        <v>6</v>
      </c>
    </row>
    <row r="74" spans="1:8" hidden="1">
      <c r="A74" s="5" t="s">
        <v>43</v>
      </c>
      <c r="H74" s="5" t="s">
        <v>6</v>
      </c>
    </row>
    <row r="75" spans="1:8" hidden="1">
      <c r="A75" s="5" t="s">
        <v>44</v>
      </c>
      <c r="H75" s="5" t="s">
        <v>6</v>
      </c>
    </row>
    <row r="76" spans="1:8" hidden="1">
      <c r="A76" s="5" t="s">
        <v>45</v>
      </c>
      <c r="H76" s="5" t="s">
        <v>6</v>
      </c>
    </row>
    <row r="77" spans="1:8" hidden="1">
      <c r="A77" s="5" t="s">
        <v>46</v>
      </c>
      <c r="H77" s="5" t="s">
        <v>6</v>
      </c>
    </row>
    <row r="78" spans="1:8" hidden="1">
      <c r="A78" s="5" t="s">
        <v>47</v>
      </c>
      <c r="H78" s="5" t="s">
        <v>6</v>
      </c>
    </row>
    <row r="79" spans="1:8" hidden="1">
      <c r="A79" s="5" t="s">
        <v>37</v>
      </c>
      <c r="H79" s="5" t="s">
        <v>6</v>
      </c>
    </row>
    <row r="80" spans="1:8" hidden="1">
      <c r="A80" s="6"/>
      <c r="H80" s="5" t="s">
        <v>6</v>
      </c>
    </row>
    <row r="81" spans="1:8" hidden="1">
      <c r="A81" s="5" t="s">
        <v>10</v>
      </c>
      <c r="H81" s="5" t="s">
        <v>6</v>
      </c>
    </row>
    <row r="82" spans="1:8" hidden="1">
      <c r="A82" s="5" t="s">
        <v>11</v>
      </c>
      <c r="H82" s="5" t="s">
        <v>6</v>
      </c>
    </row>
    <row r="83" spans="1:8" hidden="1">
      <c r="A83" s="6"/>
      <c r="H83" s="5" t="s">
        <v>6</v>
      </c>
    </row>
    <row r="84" spans="1:8" hidden="1">
      <c r="A84" s="6"/>
      <c r="H84" s="5" t="s">
        <v>6</v>
      </c>
    </row>
    <row r="85" spans="1:8" hidden="1">
      <c r="A85" s="5" t="s">
        <v>3</v>
      </c>
      <c r="H85" s="5" t="s">
        <v>6</v>
      </c>
    </row>
    <row r="86" spans="1:8" hidden="1">
      <c r="A86" s="5" t="s">
        <v>4</v>
      </c>
      <c r="H86" s="5" t="s">
        <v>6</v>
      </c>
    </row>
    <row r="87" spans="1:8" hidden="1">
      <c r="A87" s="5" t="s">
        <v>5</v>
      </c>
      <c r="H87" s="5" t="s">
        <v>6</v>
      </c>
    </row>
    <row r="88" spans="1:8" hidden="1">
      <c r="A88" s="5" t="s">
        <v>6</v>
      </c>
      <c r="H88" s="5" t="s">
        <v>6</v>
      </c>
    </row>
    <row r="89" spans="1:8" hidden="1">
      <c r="A89" s="5" t="s">
        <v>7</v>
      </c>
      <c r="H89" s="5" t="s">
        <v>6</v>
      </c>
    </row>
    <row r="90" spans="1:8" hidden="1">
      <c r="A90" s="5" t="s">
        <v>6</v>
      </c>
      <c r="H90" s="5" t="s">
        <v>6</v>
      </c>
    </row>
    <row r="91" spans="1:8" hidden="1">
      <c r="A91" s="5" t="s">
        <v>48</v>
      </c>
      <c r="H91" s="5" t="s">
        <v>6</v>
      </c>
    </row>
    <row r="92" spans="1:8" hidden="1">
      <c r="A92" s="5" t="s">
        <v>49</v>
      </c>
      <c r="H92" s="5" t="s">
        <v>6</v>
      </c>
    </row>
    <row r="93" spans="1:8" hidden="1">
      <c r="A93" s="6"/>
      <c r="H93" s="5" t="s">
        <v>6</v>
      </c>
    </row>
    <row r="94" spans="1:8" hidden="1">
      <c r="A94" s="5" t="s">
        <v>50</v>
      </c>
      <c r="H94" s="5" t="s">
        <v>6</v>
      </c>
    </row>
    <row r="95" spans="1:8" hidden="1">
      <c r="A95" s="5" t="s">
        <v>15</v>
      </c>
      <c r="H95" s="5" t="s">
        <v>6</v>
      </c>
    </row>
    <row r="96" spans="1:8" hidden="1">
      <c r="A96" s="5" t="s">
        <v>6</v>
      </c>
      <c r="H96" s="5" t="s">
        <v>6</v>
      </c>
    </row>
    <row r="97" spans="1:8" hidden="1">
      <c r="A97" s="5" t="s">
        <v>51</v>
      </c>
      <c r="H97" s="5" t="s">
        <v>6</v>
      </c>
    </row>
    <row r="98" spans="1:8" hidden="1">
      <c r="A98" s="5" t="s">
        <v>52</v>
      </c>
      <c r="H98" s="5" t="s">
        <v>6</v>
      </c>
    </row>
    <row r="99" spans="1:8" hidden="1">
      <c r="A99" s="5" t="s">
        <v>53</v>
      </c>
      <c r="H99" s="5" t="s">
        <v>6</v>
      </c>
    </row>
    <row r="100" spans="1:8" hidden="1">
      <c r="A100" s="5" t="s">
        <v>54</v>
      </c>
      <c r="H100" s="5" t="s">
        <v>6</v>
      </c>
    </row>
    <row r="101" spans="1:8" hidden="1">
      <c r="A101" s="6"/>
      <c r="H101" s="5" t="s">
        <v>6</v>
      </c>
    </row>
    <row r="102" spans="1:8" hidden="1">
      <c r="A102" s="5" t="s">
        <v>19</v>
      </c>
      <c r="H102" s="5" t="s">
        <v>6</v>
      </c>
    </row>
    <row r="103" spans="1:8" hidden="1">
      <c r="A103" s="5" t="s">
        <v>20</v>
      </c>
      <c r="H103" s="5" t="s">
        <v>6</v>
      </c>
    </row>
    <row r="104" spans="1:8" hidden="1">
      <c r="A104" s="5" t="s">
        <v>21</v>
      </c>
      <c r="H104" s="5" t="s">
        <v>6</v>
      </c>
    </row>
    <row r="105" spans="1:8" hidden="1">
      <c r="A105" s="5" t="s">
        <v>22</v>
      </c>
      <c r="H105" s="5" t="s">
        <v>6</v>
      </c>
    </row>
    <row r="106" spans="1:8" hidden="1">
      <c r="A106" s="5" t="s">
        <v>23</v>
      </c>
      <c r="H106" s="5" t="s">
        <v>6</v>
      </c>
    </row>
    <row r="107" spans="1:8" hidden="1">
      <c r="A107" s="5" t="s">
        <v>24</v>
      </c>
      <c r="H107" s="5" t="s">
        <v>6</v>
      </c>
    </row>
    <row r="108" spans="1:8" hidden="1">
      <c r="A108" s="5" t="s">
        <v>25</v>
      </c>
      <c r="H108" s="5" t="s">
        <v>6</v>
      </c>
    </row>
    <row r="109" spans="1:8" hidden="1">
      <c r="A109" s="5" t="s">
        <v>26</v>
      </c>
      <c r="H109" s="5" t="s">
        <v>6</v>
      </c>
    </row>
    <row r="110" spans="1:8" hidden="1">
      <c r="A110" s="5" t="s">
        <v>27</v>
      </c>
      <c r="H110" s="5" t="s">
        <v>6</v>
      </c>
    </row>
    <row r="111" spans="1:8" hidden="1">
      <c r="A111" s="5" t="s">
        <v>6</v>
      </c>
      <c r="H111" s="5" t="s">
        <v>6</v>
      </c>
    </row>
    <row r="112" spans="1:8" hidden="1">
      <c r="A112" s="5" t="s">
        <v>28</v>
      </c>
      <c r="H112" s="5" t="s">
        <v>6</v>
      </c>
    </row>
    <row r="113" spans="1:8" hidden="1">
      <c r="A113" s="5" t="s">
        <v>29</v>
      </c>
      <c r="H113" s="5" t="s">
        <v>6</v>
      </c>
    </row>
    <row r="114" spans="1:8" hidden="1">
      <c r="A114" s="6"/>
      <c r="H114" s="5" t="s">
        <v>6</v>
      </c>
    </row>
    <row r="115" spans="1:8" hidden="1">
      <c r="A115" s="6"/>
      <c r="H115" s="5" t="s">
        <v>6</v>
      </c>
    </row>
    <row r="116" spans="1:8" hidden="1">
      <c r="A116" s="5" t="s">
        <v>6</v>
      </c>
      <c r="H116" s="5" t="s">
        <v>6</v>
      </c>
    </row>
    <row r="117" spans="1:8" hidden="1">
      <c r="A117" s="5" t="s">
        <v>30</v>
      </c>
      <c r="H117" s="5" t="s">
        <v>6</v>
      </c>
    </row>
    <row r="118" spans="1:8" hidden="1">
      <c r="A118" s="6"/>
      <c r="H118" s="5" t="s">
        <v>6</v>
      </c>
    </row>
    <row r="119" spans="1:8" hidden="1">
      <c r="A119" s="5" t="s">
        <v>31</v>
      </c>
      <c r="H119" s="5" t="s">
        <v>6</v>
      </c>
    </row>
    <row r="120" spans="1:8" hidden="1">
      <c r="A120" s="5" t="s">
        <v>32</v>
      </c>
      <c r="H120" s="5" t="s">
        <v>6</v>
      </c>
    </row>
    <row r="121" spans="1:8" hidden="1">
      <c r="A121" s="5" t="s">
        <v>33</v>
      </c>
      <c r="H121" s="5" t="s">
        <v>6</v>
      </c>
    </row>
    <row r="122" spans="1:8" hidden="1">
      <c r="A122" s="5" t="s">
        <v>34</v>
      </c>
      <c r="H122" s="5" t="s">
        <v>6</v>
      </c>
    </row>
    <row r="123" spans="1:8" hidden="1">
      <c r="A123" s="5" t="s">
        <v>35</v>
      </c>
      <c r="H123" s="5" t="s">
        <v>6</v>
      </c>
    </row>
    <row r="124" spans="1:8" hidden="1">
      <c r="A124" s="5" t="s">
        <v>36</v>
      </c>
      <c r="H124" s="5" t="s">
        <v>6</v>
      </c>
    </row>
    <row r="125" spans="1:8" hidden="1">
      <c r="A125" s="5" t="s">
        <v>37</v>
      </c>
      <c r="H125" s="5" t="s">
        <v>6</v>
      </c>
    </row>
    <row r="126" spans="1:8" hidden="1">
      <c r="A126" s="5" t="s">
        <v>38</v>
      </c>
      <c r="H126" s="5" t="s">
        <v>6</v>
      </c>
    </row>
    <row r="127" spans="1:8" hidden="1">
      <c r="A127" s="5" t="s">
        <v>39</v>
      </c>
      <c r="H127" s="5" t="s">
        <v>6</v>
      </c>
    </row>
    <row r="128" spans="1:8" hidden="1">
      <c r="A128" s="6"/>
      <c r="H128" s="5" t="s">
        <v>6</v>
      </c>
    </row>
    <row r="129" spans="1:8" hidden="1">
      <c r="A129" s="5" t="s">
        <v>48</v>
      </c>
      <c r="H129" s="5" t="s">
        <v>6</v>
      </c>
    </row>
    <row r="130" spans="1:8" hidden="1">
      <c r="A130" s="5" t="s">
        <v>49</v>
      </c>
      <c r="H130" s="5" t="s">
        <v>6</v>
      </c>
    </row>
    <row r="131" spans="1:8" hidden="1">
      <c r="A131" s="6"/>
      <c r="H131" s="5" t="s">
        <v>6</v>
      </c>
    </row>
    <row r="132" spans="1:8" hidden="1">
      <c r="A132" s="6"/>
      <c r="H132" s="5" t="s">
        <v>6</v>
      </c>
    </row>
    <row r="133" spans="1:8" hidden="1">
      <c r="A133" s="6"/>
      <c r="H133" s="5" t="s">
        <v>6</v>
      </c>
    </row>
    <row r="134" spans="1:8" hidden="1">
      <c r="A134" s="6"/>
      <c r="H134" s="5" t="s">
        <v>6</v>
      </c>
    </row>
    <row r="135" spans="1:8" hidden="1">
      <c r="A135" s="5" t="s">
        <v>6</v>
      </c>
      <c r="H135" s="5" t="s">
        <v>6</v>
      </c>
    </row>
    <row r="136" spans="1:8" hidden="1">
      <c r="A136" s="5" t="s">
        <v>40</v>
      </c>
      <c r="H136" s="5" t="s">
        <v>6</v>
      </c>
    </row>
    <row r="137" spans="1:8" hidden="1">
      <c r="A137" s="6"/>
      <c r="H137" s="5" t="s">
        <v>6</v>
      </c>
    </row>
    <row r="138" spans="1:8" hidden="1">
      <c r="A138" s="5" t="s">
        <v>41</v>
      </c>
      <c r="H138" s="5" t="s">
        <v>6</v>
      </c>
    </row>
    <row r="139" spans="1:8" hidden="1">
      <c r="A139" s="6"/>
      <c r="H139" s="5" t="s">
        <v>6</v>
      </c>
    </row>
    <row r="140" spans="1:8" hidden="1">
      <c r="A140" s="5" t="s">
        <v>42</v>
      </c>
      <c r="H140" s="5" t="s">
        <v>6</v>
      </c>
    </row>
    <row r="141" spans="1:8" hidden="1">
      <c r="A141" s="6"/>
      <c r="H141" s="5" t="s">
        <v>6</v>
      </c>
    </row>
    <row r="142" spans="1:8" hidden="1">
      <c r="A142" s="5" t="s">
        <v>43</v>
      </c>
      <c r="H142" s="5" t="s">
        <v>6</v>
      </c>
    </row>
    <row r="143" spans="1:8" hidden="1">
      <c r="A143" s="5" t="s">
        <v>44</v>
      </c>
      <c r="H143" s="5" t="s">
        <v>6</v>
      </c>
    </row>
    <row r="144" spans="1:8" hidden="1">
      <c r="A144" s="5" t="s">
        <v>45</v>
      </c>
      <c r="H144" s="5" t="s">
        <v>6</v>
      </c>
    </row>
    <row r="145" spans="1:8" hidden="1">
      <c r="A145" s="5" t="s">
        <v>46</v>
      </c>
      <c r="H145" s="5" t="s">
        <v>6</v>
      </c>
    </row>
    <row r="146" spans="1:8" hidden="1">
      <c r="A146" s="5" t="s">
        <v>47</v>
      </c>
      <c r="H146" s="5" t="s">
        <v>6</v>
      </c>
    </row>
    <row r="147" spans="1:8" hidden="1">
      <c r="A147" s="5" t="s">
        <v>37</v>
      </c>
      <c r="H147" s="5" t="s">
        <v>6</v>
      </c>
    </row>
    <row r="148" spans="1:8" hidden="1">
      <c r="A148" s="6"/>
      <c r="H148" s="5" t="s">
        <v>6</v>
      </c>
    </row>
    <row r="149" spans="1:8" hidden="1">
      <c r="A149" s="5" t="s">
        <v>48</v>
      </c>
      <c r="H149" s="5" t="s">
        <v>6</v>
      </c>
    </row>
    <row r="150" spans="1:8" hidden="1">
      <c r="A150" s="5" t="s">
        <v>49</v>
      </c>
      <c r="H150" s="5" t="s">
        <v>6</v>
      </c>
    </row>
    <row r="151" spans="1:8" hidden="1">
      <c r="A151" s="6"/>
      <c r="H151" s="5" t="s">
        <v>6</v>
      </c>
    </row>
    <row r="152" spans="1:8" hidden="1">
      <c r="A152" s="6"/>
      <c r="H152" s="5" t="s">
        <v>6</v>
      </c>
    </row>
    <row r="153" spans="1:8" hidden="1">
      <c r="A153" s="5" t="s">
        <v>3</v>
      </c>
      <c r="H153" s="5" t="s">
        <v>6</v>
      </c>
    </row>
    <row r="154" spans="1:8" hidden="1">
      <c r="A154" s="5" t="s">
        <v>4</v>
      </c>
      <c r="H154" s="5" t="s">
        <v>6</v>
      </c>
    </row>
    <row r="155" spans="1:8" hidden="1">
      <c r="A155" s="5" t="s">
        <v>5</v>
      </c>
      <c r="H155" s="5" t="s">
        <v>6</v>
      </c>
    </row>
    <row r="156" spans="1:8" hidden="1">
      <c r="A156" s="5" t="s">
        <v>6</v>
      </c>
      <c r="H156" s="5" t="s">
        <v>6</v>
      </c>
    </row>
    <row r="157" spans="1:8" hidden="1">
      <c r="A157" s="5" t="s">
        <v>7</v>
      </c>
      <c r="H157" s="5" t="s">
        <v>6</v>
      </c>
    </row>
    <row r="158" spans="1:8" hidden="1">
      <c r="A158" s="5" t="s">
        <v>6</v>
      </c>
      <c r="H158" s="5" t="s">
        <v>6</v>
      </c>
    </row>
    <row r="159" spans="1:8" hidden="1">
      <c r="A159" s="5" t="s">
        <v>55</v>
      </c>
      <c r="H159" s="5" t="s">
        <v>6</v>
      </c>
    </row>
    <row r="160" spans="1:8" hidden="1">
      <c r="A160" s="5" t="s">
        <v>56</v>
      </c>
      <c r="H160" s="5" t="s">
        <v>6</v>
      </c>
    </row>
    <row r="161" spans="1:8" hidden="1">
      <c r="A161" s="6"/>
      <c r="H161" s="5" t="s">
        <v>6</v>
      </c>
    </row>
    <row r="162" spans="1:8" hidden="1">
      <c r="A162" s="5" t="s">
        <v>57</v>
      </c>
      <c r="H162" s="5" t="s">
        <v>6</v>
      </c>
    </row>
    <row r="163" spans="1:8" hidden="1">
      <c r="A163" s="5" t="s">
        <v>58</v>
      </c>
      <c r="H163" s="5" t="s">
        <v>6</v>
      </c>
    </row>
    <row r="164" spans="1:8" hidden="1">
      <c r="A164" s="5" t="s">
        <v>59</v>
      </c>
      <c r="H164" s="5" t="s">
        <v>6</v>
      </c>
    </row>
    <row r="165" spans="1:8" hidden="1">
      <c r="A165" s="5" t="s">
        <v>60</v>
      </c>
      <c r="H165" s="5" t="s">
        <v>6</v>
      </c>
    </row>
    <row r="166" spans="1:8" hidden="1">
      <c r="A166" s="5" t="s">
        <v>61</v>
      </c>
      <c r="H166" s="5" t="s">
        <v>6</v>
      </c>
    </row>
    <row r="167" spans="1:8" hidden="1">
      <c r="A167" s="5" t="s">
        <v>6</v>
      </c>
      <c r="H167" s="5" t="s">
        <v>6</v>
      </c>
    </row>
    <row r="168" spans="1:8" hidden="1">
      <c r="A168" s="5" t="s">
        <v>62</v>
      </c>
      <c r="H168" s="5" t="s">
        <v>6</v>
      </c>
    </row>
    <row r="169" spans="1:8" hidden="1">
      <c r="A169" s="5" t="s">
        <v>63</v>
      </c>
      <c r="H169" s="5" t="s">
        <v>6</v>
      </c>
    </row>
    <row r="170" spans="1:8" hidden="1">
      <c r="A170" s="5" t="s">
        <v>64</v>
      </c>
      <c r="H170" s="5" t="s">
        <v>6</v>
      </c>
    </row>
    <row r="171" spans="1:8" hidden="1">
      <c r="A171" s="6"/>
      <c r="H171" s="5" t="s">
        <v>6</v>
      </c>
    </row>
    <row r="172" spans="1:8" hidden="1">
      <c r="A172" s="5" t="s">
        <v>18</v>
      </c>
      <c r="H172" s="5" t="s">
        <v>6</v>
      </c>
    </row>
    <row r="173" spans="1:8" hidden="1">
      <c r="A173" s="7">
        <v>181860</v>
      </c>
      <c r="H173" s="5" t="s">
        <v>6</v>
      </c>
    </row>
    <row r="174" spans="1:8" hidden="1">
      <c r="A174" s="6"/>
      <c r="H174" s="5" t="s">
        <v>6</v>
      </c>
    </row>
    <row r="175" spans="1:8" hidden="1">
      <c r="A175" s="5" t="s">
        <v>19</v>
      </c>
      <c r="H175" s="5" t="s">
        <v>6</v>
      </c>
    </row>
    <row r="176" spans="1:8" hidden="1">
      <c r="A176" s="5" t="s">
        <v>20</v>
      </c>
      <c r="H176" s="5" t="s">
        <v>6</v>
      </c>
    </row>
    <row r="177" spans="1:8" hidden="1">
      <c r="A177" s="5" t="s">
        <v>21</v>
      </c>
      <c r="H177" s="5" t="s">
        <v>6</v>
      </c>
    </row>
    <row r="178" spans="1:8" hidden="1">
      <c r="A178" s="5" t="s">
        <v>22</v>
      </c>
      <c r="H178" s="5" t="s">
        <v>6</v>
      </c>
    </row>
    <row r="179" spans="1:8" hidden="1">
      <c r="A179" s="5" t="s">
        <v>23</v>
      </c>
      <c r="H179" s="5" t="s">
        <v>6</v>
      </c>
    </row>
    <row r="180" spans="1:8" hidden="1">
      <c r="A180" s="5" t="s">
        <v>24</v>
      </c>
      <c r="H180" s="5" t="s">
        <v>6</v>
      </c>
    </row>
    <row r="181" spans="1:8" hidden="1">
      <c r="A181" s="5" t="s">
        <v>25</v>
      </c>
      <c r="H181" s="5" t="s">
        <v>6</v>
      </c>
    </row>
    <row r="182" spans="1:8" hidden="1">
      <c r="A182" s="5" t="s">
        <v>26</v>
      </c>
      <c r="H182" s="5" t="s">
        <v>6</v>
      </c>
    </row>
    <row r="183" spans="1:8" hidden="1">
      <c r="A183" s="5" t="s">
        <v>27</v>
      </c>
      <c r="H183" s="5" t="s">
        <v>6</v>
      </c>
    </row>
    <row r="184" spans="1:8" hidden="1">
      <c r="A184" s="5" t="s">
        <v>6</v>
      </c>
      <c r="H184" s="5" t="s">
        <v>6</v>
      </c>
    </row>
    <row r="185" spans="1:8" hidden="1">
      <c r="A185" s="5" t="s">
        <v>28</v>
      </c>
      <c r="H185" s="5" t="s">
        <v>6</v>
      </c>
    </row>
    <row r="186" spans="1:8" hidden="1">
      <c r="A186" s="5" t="s">
        <v>29</v>
      </c>
      <c r="H186" s="5" t="s">
        <v>6</v>
      </c>
    </row>
    <row r="187" spans="1:8" hidden="1">
      <c r="A187" s="6"/>
      <c r="H187" s="5" t="s">
        <v>6</v>
      </c>
    </row>
    <row r="188" spans="1:8" hidden="1">
      <c r="A188" s="6"/>
      <c r="H188" s="5" t="s">
        <v>6</v>
      </c>
    </row>
    <row r="189" spans="1:8" hidden="1">
      <c r="A189" s="5" t="s">
        <v>6</v>
      </c>
      <c r="H189" s="5" t="s">
        <v>6</v>
      </c>
    </row>
    <row r="190" spans="1:8" hidden="1">
      <c r="A190" s="5" t="s">
        <v>30</v>
      </c>
      <c r="H190" s="5" t="s">
        <v>6</v>
      </c>
    </row>
    <row r="191" spans="1:8" hidden="1">
      <c r="A191" s="6"/>
      <c r="H191" s="5" t="s">
        <v>6</v>
      </c>
    </row>
    <row r="192" spans="1:8" hidden="1">
      <c r="A192" s="5" t="s">
        <v>31</v>
      </c>
      <c r="H192" s="5" t="s">
        <v>6</v>
      </c>
    </row>
    <row r="193" spans="1:8" hidden="1">
      <c r="A193" s="5" t="s">
        <v>32</v>
      </c>
      <c r="H193" s="5" t="s">
        <v>6</v>
      </c>
    </row>
    <row r="194" spans="1:8" hidden="1">
      <c r="A194" s="5" t="s">
        <v>33</v>
      </c>
      <c r="H194" s="5" t="s">
        <v>6</v>
      </c>
    </row>
    <row r="195" spans="1:8" hidden="1">
      <c r="A195" s="5" t="s">
        <v>34</v>
      </c>
      <c r="H195" s="5" t="s">
        <v>6</v>
      </c>
    </row>
    <row r="196" spans="1:8" hidden="1">
      <c r="A196" s="5" t="s">
        <v>35</v>
      </c>
      <c r="H196" s="5" t="s">
        <v>6</v>
      </c>
    </row>
    <row r="197" spans="1:8" hidden="1">
      <c r="A197" s="5" t="s">
        <v>36</v>
      </c>
      <c r="H197" s="5" t="s">
        <v>6</v>
      </c>
    </row>
    <row r="198" spans="1:8" hidden="1">
      <c r="A198" s="5" t="s">
        <v>37</v>
      </c>
      <c r="H198" s="5" t="s">
        <v>6</v>
      </c>
    </row>
    <row r="199" spans="1:8" hidden="1">
      <c r="A199" s="5" t="s">
        <v>38</v>
      </c>
      <c r="H199" s="5" t="s">
        <v>6</v>
      </c>
    </row>
    <row r="200" spans="1:8" hidden="1">
      <c r="A200" s="5" t="s">
        <v>39</v>
      </c>
      <c r="H200" s="5" t="s">
        <v>6</v>
      </c>
    </row>
    <row r="201" spans="1:8" hidden="1">
      <c r="A201" s="6"/>
      <c r="H201" s="5" t="s">
        <v>6</v>
      </c>
    </row>
    <row r="202" spans="1:8" hidden="1">
      <c r="A202" s="5" t="s">
        <v>55</v>
      </c>
      <c r="H202" s="5" t="s">
        <v>6</v>
      </c>
    </row>
    <row r="203" spans="1:8" hidden="1">
      <c r="A203" s="5" t="s">
        <v>56</v>
      </c>
      <c r="H203" s="5" t="s">
        <v>6</v>
      </c>
    </row>
    <row r="204" spans="1:8" hidden="1">
      <c r="A204" s="6"/>
      <c r="H204" s="5" t="s">
        <v>6</v>
      </c>
    </row>
    <row r="205" spans="1:8" hidden="1">
      <c r="A205" s="6"/>
      <c r="H205" s="5" t="s">
        <v>6</v>
      </c>
    </row>
    <row r="206" spans="1:8" hidden="1">
      <c r="A206" s="6"/>
      <c r="H206" s="5" t="s">
        <v>6</v>
      </c>
    </row>
    <row r="207" spans="1:8" hidden="1">
      <c r="A207" s="6"/>
      <c r="H207" s="5" t="s">
        <v>6</v>
      </c>
    </row>
    <row r="208" spans="1:8" hidden="1">
      <c r="A208" s="5" t="s">
        <v>6</v>
      </c>
      <c r="H208" s="5" t="s">
        <v>6</v>
      </c>
    </row>
    <row r="209" spans="1:8" hidden="1">
      <c r="A209" s="5" t="s">
        <v>40</v>
      </c>
      <c r="H209" s="5" t="s">
        <v>6</v>
      </c>
    </row>
    <row r="210" spans="1:8" hidden="1">
      <c r="A210" s="6"/>
      <c r="H210" s="5" t="s">
        <v>6</v>
      </c>
    </row>
    <row r="211" spans="1:8" hidden="1">
      <c r="A211" s="5" t="s">
        <v>41</v>
      </c>
      <c r="H211" s="5" t="s">
        <v>6</v>
      </c>
    </row>
    <row r="212" spans="1:8" hidden="1">
      <c r="A212" s="6"/>
      <c r="H212" s="5" t="s">
        <v>6</v>
      </c>
    </row>
    <row r="213" spans="1:8" hidden="1">
      <c r="A213" s="5" t="s">
        <v>42</v>
      </c>
      <c r="H213" s="5" t="s">
        <v>6</v>
      </c>
    </row>
    <row r="214" spans="1:8" hidden="1">
      <c r="A214" s="6"/>
      <c r="H214" s="5" t="s">
        <v>6</v>
      </c>
    </row>
    <row r="215" spans="1:8" hidden="1">
      <c r="A215" s="5" t="s">
        <v>43</v>
      </c>
      <c r="H215" s="5" t="s">
        <v>6</v>
      </c>
    </row>
    <row r="216" spans="1:8" hidden="1">
      <c r="A216" s="5" t="s">
        <v>44</v>
      </c>
      <c r="H216" s="5" t="s">
        <v>6</v>
      </c>
    </row>
    <row r="217" spans="1:8" hidden="1">
      <c r="A217" s="5" t="s">
        <v>45</v>
      </c>
      <c r="H217" s="5" t="s">
        <v>6</v>
      </c>
    </row>
    <row r="218" spans="1:8" hidden="1">
      <c r="A218" s="5" t="s">
        <v>46</v>
      </c>
      <c r="H218" s="5" t="s">
        <v>6</v>
      </c>
    </row>
    <row r="219" spans="1:8" hidden="1">
      <c r="A219" s="5" t="s">
        <v>47</v>
      </c>
      <c r="H219" s="5" t="s">
        <v>6</v>
      </c>
    </row>
    <row r="220" spans="1:8" hidden="1">
      <c r="A220" s="5" t="s">
        <v>37</v>
      </c>
      <c r="H220" s="5" t="s">
        <v>6</v>
      </c>
    </row>
    <row r="221" spans="1:8" hidden="1">
      <c r="A221" s="6"/>
      <c r="H221" s="5" t="s">
        <v>6</v>
      </c>
    </row>
    <row r="222" spans="1:8" hidden="1">
      <c r="A222" s="5" t="s">
        <v>55</v>
      </c>
      <c r="H222" s="5" t="s">
        <v>6</v>
      </c>
    </row>
    <row r="223" spans="1:8" hidden="1">
      <c r="A223" s="5" t="s">
        <v>56</v>
      </c>
      <c r="H223" s="5" t="s">
        <v>6</v>
      </c>
    </row>
    <row r="224" spans="1:8" hidden="1">
      <c r="A224" s="6"/>
      <c r="H224" s="5" t="s">
        <v>6</v>
      </c>
    </row>
    <row r="225" spans="1:8" hidden="1">
      <c r="A225" s="6"/>
      <c r="H225" s="5" t="s">
        <v>6</v>
      </c>
    </row>
    <row r="226" spans="1:8" hidden="1">
      <c r="A226" s="5" t="s">
        <v>3</v>
      </c>
      <c r="H226" s="5" t="s">
        <v>6</v>
      </c>
    </row>
    <row r="227" spans="1:8" hidden="1">
      <c r="A227" s="5" t="s">
        <v>4</v>
      </c>
      <c r="H227" s="5" t="s">
        <v>6</v>
      </c>
    </row>
    <row r="228" spans="1:8" hidden="1">
      <c r="A228" s="5" t="s">
        <v>5</v>
      </c>
      <c r="H228" s="5" t="s">
        <v>6</v>
      </c>
    </row>
    <row r="229" spans="1:8" hidden="1">
      <c r="A229" s="5" t="s">
        <v>6</v>
      </c>
      <c r="H229" s="5" t="s">
        <v>6</v>
      </c>
    </row>
    <row r="230" spans="1:8" hidden="1">
      <c r="A230" s="5" t="s">
        <v>7</v>
      </c>
      <c r="H230" s="5" t="s">
        <v>6</v>
      </c>
    </row>
    <row r="231" spans="1:8" hidden="1">
      <c r="A231" s="5" t="s">
        <v>6</v>
      </c>
      <c r="H231" s="5" t="s">
        <v>6</v>
      </c>
    </row>
    <row r="232" spans="1:8" hidden="1">
      <c r="A232" s="5" t="s">
        <v>65</v>
      </c>
      <c r="H232" s="5" t="s">
        <v>6</v>
      </c>
    </row>
    <row r="233" spans="1:8" hidden="1">
      <c r="A233" s="5" t="s">
        <v>66</v>
      </c>
      <c r="H233" s="5" t="s">
        <v>6</v>
      </c>
    </row>
    <row r="234" spans="1:8" hidden="1">
      <c r="A234" s="6"/>
      <c r="H234" s="5" t="s">
        <v>6</v>
      </c>
    </row>
    <row r="235" spans="1:8" hidden="1">
      <c r="A235" s="5" t="s">
        <v>67</v>
      </c>
      <c r="H235" s="5" t="s">
        <v>6</v>
      </c>
    </row>
    <row r="236" spans="1:8" hidden="1">
      <c r="A236" s="5" t="s">
        <v>68</v>
      </c>
      <c r="H236" s="5" t="s">
        <v>6</v>
      </c>
    </row>
    <row r="237" spans="1:8" hidden="1">
      <c r="A237" s="5" t="s">
        <v>69</v>
      </c>
      <c r="H237" s="5" t="s">
        <v>6</v>
      </c>
    </row>
    <row r="238" spans="1:8" hidden="1">
      <c r="A238" s="5" t="s">
        <v>70</v>
      </c>
      <c r="H238" s="5" t="s">
        <v>6</v>
      </c>
    </row>
    <row r="239" spans="1:8" hidden="1">
      <c r="A239" s="5" t="s">
        <v>71</v>
      </c>
      <c r="H239" s="5" t="s">
        <v>6</v>
      </c>
    </row>
    <row r="240" spans="1:8" hidden="1">
      <c r="A240" s="5" t="s">
        <v>72</v>
      </c>
      <c r="H240" s="5" t="s">
        <v>6</v>
      </c>
    </row>
    <row r="241" spans="1:8" hidden="1">
      <c r="A241" s="5" t="s">
        <v>61</v>
      </c>
      <c r="H241" s="5" t="s">
        <v>6</v>
      </c>
    </row>
    <row r="242" spans="1:8" hidden="1">
      <c r="A242" s="5" t="s">
        <v>6</v>
      </c>
      <c r="H242" s="5" t="s">
        <v>6</v>
      </c>
    </row>
    <row r="243" spans="1:8" hidden="1">
      <c r="A243" s="5" t="s">
        <v>73</v>
      </c>
      <c r="H243" s="5" t="s">
        <v>6</v>
      </c>
    </row>
    <row r="244" spans="1:8" hidden="1">
      <c r="A244" s="5" t="s">
        <v>63</v>
      </c>
      <c r="H244" s="5" t="s">
        <v>6</v>
      </c>
    </row>
    <row r="245" spans="1:8" hidden="1">
      <c r="A245" s="5" t="s">
        <v>74</v>
      </c>
      <c r="H245" s="5" t="s">
        <v>6</v>
      </c>
    </row>
    <row r="246" spans="1:8" hidden="1">
      <c r="A246" s="6"/>
      <c r="H246" s="5" t="s">
        <v>6</v>
      </c>
    </row>
    <row r="247" spans="1:8" hidden="1">
      <c r="A247" s="5" t="s">
        <v>18</v>
      </c>
      <c r="H247" s="5" t="s">
        <v>6</v>
      </c>
    </row>
    <row r="248" spans="1:8" hidden="1">
      <c r="A248" s="7">
        <v>79900</v>
      </c>
      <c r="H248" s="5" t="s">
        <v>6</v>
      </c>
    </row>
    <row r="249" spans="1:8" hidden="1">
      <c r="A249" s="6"/>
      <c r="H249" s="5" t="s">
        <v>6</v>
      </c>
    </row>
    <row r="250" spans="1:8" hidden="1">
      <c r="A250" s="5" t="s">
        <v>19</v>
      </c>
      <c r="H250" s="5" t="s">
        <v>6</v>
      </c>
    </row>
    <row r="251" spans="1:8" hidden="1">
      <c r="A251" s="5" t="s">
        <v>20</v>
      </c>
      <c r="H251" s="5" t="s">
        <v>6</v>
      </c>
    </row>
    <row r="252" spans="1:8" hidden="1">
      <c r="A252" s="5" t="s">
        <v>21</v>
      </c>
      <c r="H252" s="5" t="s">
        <v>6</v>
      </c>
    </row>
    <row r="253" spans="1:8" hidden="1">
      <c r="A253" s="5" t="s">
        <v>22</v>
      </c>
      <c r="H253" s="5" t="s">
        <v>6</v>
      </c>
    </row>
    <row r="254" spans="1:8" hidden="1">
      <c r="A254" s="5" t="s">
        <v>23</v>
      </c>
      <c r="H254" s="5" t="s">
        <v>6</v>
      </c>
    </row>
    <row r="255" spans="1:8" hidden="1">
      <c r="A255" s="5" t="s">
        <v>24</v>
      </c>
      <c r="H255" s="5" t="s">
        <v>6</v>
      </c>
    </row>
    <row r="256" spans="1:8" hidden="1">
      <c r="A256" s="5" t="s">
        <v>25</v>
      </c>
      <c r="H256" s="5" t="s">
        <v>6</v>
      </c>
    </row>
    <row r="257" spans="1:8" hidden="1">
      <c r="A257" s="5" t="s">
        <v>26</v>
      </c>
      <c r="H257" s="5" t="s">
        <v>6</v>
      </c>
    </row>
    <row r="258" spans="1:8" hidden="1">
      <c r="A258" s="5" t="s">
        <v>27</v>
      </c>
      <c r="H258" s="5" t="s">
        <v>6</v>
      </c>
    </row>
    <row r="259" spans="1:8" hidden="1">
      <c r="A259" s="5" t="s">
        <v>6</v>
      </c>
      <c r="H259" s="5" t="s">
        <v>6</v>
      </c>
    </row>
    <row r="260" spans="1:8" hidden="1">
      <c r="A260" s="5" t="s">
        <v>28</v>
      </c>
      <c r="H260" s="5" t="s">
        <v>6</v>
      </c>
    </row>
    <row r="261" spans="1:8" hidden="1">
      <c r="A261" s="5" t="s">
        <v>29</v>
      </c>
      <c r="H261" s="5" t="s">
        <v>6</v>
      </c>
    </row>
    <row r="262" spans="1:8" hidden="1">
      <c r="A262" s="6"/>
      <c r="H262" s="5" t="s">
        <v>6</v>
      </c>
    </row>
    <row r="263" spans="1:8" hidden="1">
      <c r="A263" s="6"/>
      <c r="H263" s="5" t="s">
        <v>6</v>
      </c>
    </row>
    <row r="264" spans="1:8" hidden="1">
      <c r="A264" s="5" t="s">
        <v>6</v>
      </c>
      <c r="H264" s="5" t="s">
        <v>6</v>
      </c>
    </row>
    <row r="265" spans="1:8" hidden="1">
      <c r="A265" s="5" t="s">
        <v>30</v>
      </c>
      <c r="H265" s="5" t="s">
        <v>6</v>
      </c>
    </row>
    <row r="266" spans="1:8" hidden="1">
      <c r="A266" s="6"/>
      <c r="H266" s="5" t="s">
        <v>6</v>
      </c>
    </row>
    <row r="267" spans="1:8" hidden="1">
      <c r="A267" s="5" t="s">
        <v>31</v>
      </c>
      <c r="H267" s="5" t="s">
        <v>6</v>
      </c>
    </row>
    <row r="268" spans="1:8" hidden="1">
      <c r="A268" s="5" t="s">
        <v>32</v>
      </c>
      <c r="H268" s="5" t="s">
        <v>6</v>
      </c>
    </row>
    <row r="269" spans="1:8" hidden="1">
      <c r="A269" s="5" t="s">
        <v>33</v>
      </c>
      <c r="H269" s="5" t="s">
        <v>6</v>
      </c>
    </row>
    <row r="270" spans="1:8" hidden="1">
      <c r="A270" s="5" t="s">
        <v>34</v>
      </c>
      <c r="H270" s="5" t="s">
        <v>6</v>
      </c>
    </row>
    <row r="271" spans="1:8" hidden="1">
      <c r="A271" s="5" t="s">
        <v>35</v>
      </c>
      <c r="H271" s="5" t="s">
        <v>6</v>
      </c>
    </row>
    <row r="272" spans="1:8" hidden="1">
      <c r="A272" s="5" t="s">
        <v>36</v>
      </c>
      <c r="H272" s="5" t="s">
        <v>6</v>
      </c>
    </row>
    <row r="273" spans="1:8" hidden="1">
      <c r="A273" s="5" t="s">
        <v>37</v>
      </c>
      <c r="H273" s="5" t="s">
        <v>6</v>
      </c>
    </row>
    <row r="274" spans="1:8" hidden="1">
      <c r="A274" s="5" t="s">
        <v>38</v>
      </c>
      <c r="H274" s="5" t="s">
        <v>6</v>
      </c>
    </row>
    <row r="275" spans="1:8" hidden="1">
      <c r="A275" s="5" t="s">
        <v>39</v>
      </c>
      <c r="H275" s="5" t="s">
        <v>6</v>
      </c>
    </row>
    <row r="276" spans="1:8" hidden="1">
      <c r="A276" s="6"/>
      <c r="H276" s="5" t="s">
        <v>6</v>
      </c>
    </row>
    <row r="277" spans="1:8" hidden="1">
      <c r="A277" s="5" t="s">
        <v>65</v>
      </c>
      <c r="H277" s="5" t="s">
        <v>6</v>
      </c>
    </row>
    <row r="278" spans="1:8" hidden="1">
      <c r="A278" s="5" t="s">
        <v>66</v>
      </c>
      <c r="H278" s="5" t="s">
        <v>6</v>
      </c>
    </row>
    <row r="279" spans="1:8" hidden="1">
      <c r="A279" s="6"/>
      <c r="H279" s="5" t="s">
        <v>6</v>
      </c>
    </row>
    <row r="280" spans="1:8" hidden="1">
      <c r="A280" s="6"/>
      <c r="H280" s="5" t="s">
        <v>6</v>
      </c>
    </row>
    <row r="281" spans="1:8" hidden="1">
      <c r="A281" s="6"/>
      <c r="H281" s="5" t="s">
        <v>6</v>
      </c>
    </row>
    <row r="282" spans="1:8" hidden="1">
      <c r="A282" s="6"/>
      <c r="H282" s="5" t="s">
        <v>6</v>
      </c>
    </row>
    <row r="283" spans="1:8" hidden="1">
      <c r="A283" s="5" t="s">
        <v>6</v>
      </c>
      <c r="H283" s="5" t="s">
        <v>6</v>
      </c>
    </row>
    <row r="284" spans="1:8" hidden="1">
      <c r="A284" s="5" t="s">
        <v>40</v>
      </c>
      <c r="H284" s="5" t="s">
        <v>6</v>
      </c>
    </row>
    <row r="285" spans="1:8" hidden="1">
      <c r="A285" s="6"/>
      <c r="H285" s="5" t="s">
        <v>6</v>
      </c>
    </row>
    <row r="286" spans="1:8" hidden="1">
      <c r="A286" s="5" t="s">
        <v>41</v>
      </c>
      <c r="H286" s="5" t="s">
        <v>6</v>
      </c>
    </row>
    <row r="287" spans="1:8" hidden="1">
      <c r="A287" s="6"/>
      <c r="H287" s="5" t="s">
        <v>6</v>
      </c>
    </row>
    <row r="288" spans="1:8" hidden="1">
      <c r="A288" s="5" t="s">
        <v>42</v>
      </c>
      <c r="H288" s="5" t="s">
        <v>6</v>
      </c>
    </row>
    <row r="289" spans="1:8" hidden="1">
      <c r="A289" s="6"/>
      <c r="H289" s="5" t="s">
        <v>6</v>
      </c>
    </row>
    <row r="290" spans="1:8" hidden="1">
      <c r="A290" s="5" t="s">
        <v>43</v>
      </c>
      <c r="H290" s="5" t="s">
        <v>6</v>
      </c>
    </row>
    <row r="291" spans="1:8" hidden="1">
      <c r="A291" s="5" t="s">
        <v>44</v>
      </c>
      <c r="H291" s="5" t="s">
        <v>6</v>
      </c>
    </row>
    <row r="292" spans="1:8" hidden="1">
      <c r="A292" s="5" t="s">
        <v>45</v>
      </c>
      <c r="H292" s="5" t="s">
        <v>6</v>
      </c>
    </row>
    <row r="293" spans="1:8" hidden="1">
      <c r="A293" s="5" t="s">
        <v>46</v>
      </c>
      <c r="H293" s="5" t="s">
        <v>6</v>
      </c>
    </row>
    <row r="294" spans="1:8" hidden="1">
      <c r="A294" s="5" t="s">
        <v>47</v>
      </c>
      <c r="H294" s="5" t="s">
        <v>6</v>
      </c>
    </row>
    <row r="295" spans="1:8" hidden="1">
      <c r="A295" s="5" t="s">
        <v>37</v>
      </c>
      <c r="H295" s="5" t="s">
        <v>6</v>
      </c>
    </row>
    <row r="296" spans="1:8" hidden="1">
      <c r="A296" s="6"/>
      <c r="H296" s="5" t="s">
        <v>6</v>
      </c>
    </row>
    <row r="297" spans="1:8" hidden="1">
      <c r="A297" s="5" t="s">
        <v>65</v>
      </c>
      <c r="H297" s="5" t="s">
        <v>6</v>
      </c>
    </row>
    <row r="298" spans="1:8" hidden="1">
      <c r="A298" s="5" t="s">
        <v>66</v>
      </c>
      <c r="H298" s="5" t="s">
        <v>6</v>
      </c>
    </row>
    <row r="299" spans="1:8" hidden="1">
      <c r="A299" s="6"/>
      <c r="H299" s="5" t="s">
        <v>6</v>
      </c>
    </row>
    <row r="300" spans="1:8" hidden="1">
      <c r="A300" s="6"/>
      <c r="H300" s="5" t="s">
        <v>6</v>
      </c>
    </row>
    <row r="301" spans="1:8" hidden="1">
      <c r="A301" s="5" t="s">
        <v>3</v>
      </c>
      <c r="H301" s="5" t="s">
        <v>6</v>
      </c>
    </row>
    <row r="302" spans="1:8" hidden="1">
      <c r="A302" s="5" t="s">
        <v>4</v>
      </c>
      <c r="H302" s="5" t="s">
        <v>6</v>
      </c>
    </row>
    <row r="303" spans="1:8" hidden="1">
      <c r="A303" s="5" t="s">
        <v>5</v>
      </c>
      <c r="H303" s="5" t="s">
        <v>6</v>
      </c>
    </row>
    <row r="304" spans="1:8" hidden="1">
      <c r="A304" s="5" t="s">
        <v>6</v>
      </c>
      <c r="H304" s="5" t="s">
        <v>6</v>
      </c>
    </row>
    <row r="305" spans="1:8" hidden="1">
      <c r="A305" s="5" t="s">
        <v>7</v>
      </c>
      <c r="H305" s="5" t="s">
        <v>6</v>
      </c>
    </row>
    <row r="306" spans="1:8" hidden="1">
      <c r="A306" s="5" t="s">
        <v>6</v>
      </c>
      <c r="H306" s="5" t="s">
        <v>6</v>
      </c>
    </row>
    <row r="307" spans="1:8" hidden="1">
      <c r="A307" s="5" t="s">
        <v>75</v>
      </c>
      <c r="H307" s="5" t="s">
        <v>6</v>
      </c>
    </row>
    <row r="308" spans="1:8" hidden="1">
      <c r="A308" s="5" t="s">
        <v>76</v>
      </c>
      <c r="H308" s="5" t="s">
        <v>6</v>
      </c>
    </row>
    <row r="309" spans="1:8" hidden="1">
      <c r="A309" s="6"/>
      <c r="H309" s="5" t="s">
        <v>6</v>
      </c>
    </row>
    <row r="310" spans="1:8" hidden="1">
      <c r="A310" s="5" t="s">
        <v>50</v>
      </c>
      <c r="H310" s="5" t="s">
        <v>6</v>
      </c>
    </row>
    <row r="311" spans="1:8" hidden="1">
      <c r="A311" s="5" t="s">
        <v>77</v>
      </c>
      <c r="H311" s="5" t="s">
        <v>6</v>
      </c>
    </row>
    <row r="312" spans="1:8" hidden="1">
      <c r="A312" s="5" t="s">
        <v>6</v>
      </c>
      <c r="H312" s="5" t="s">
        <v>6</v>
      </c>
    </row>
    <row r="313" spans="1:8" hidden="1">
      <c r="A313" s="5" t="s">
        <v>51</v>
      </c>
      <c r="H313" s="5" t="s">
        <v>6</v>
      </c>
    </row>
    <row r="314" spans="1:8" hidden="1">
      <c r="A314" s="5" t="s">
        <v>78</v>
      </c>
      <c r="H314" s="5" t="s">
        <v>6</v>
      </c>
    </row>
    <row r="315" spans="1:8" hidden="1">
      <c r="A315" s="5" t="s">
        <v>79</v>
      </c>
      <c r="H315" s="5" t="s">
        <v>6</v>
      </c>
    </row>
    <row r="316" spans="1:8" hidden="1">
      <c r="A316" s="6"/>
      <c r="H316" s="5" t="s">
        <v>6</v>
      </c>
    </row>
    <row r="317" spans="1:8" hidden="1">
      <c r="A317" s="5" t="s">
        <v>19</v>
      </c>
      <c r="H317" s="5" t="s">
        <v>6</v>
      </c>
    </row>
    <row r="318" spans="1:8" hidden="1">
      <c r="A318" s="5" t="s">
        <v>20</v>
      </c>
      <c r="H318" s="5" t="s">
        <v>6</v>
      </c>
    </row>
    <row r="319" spans="1:8" hidden="1">
      <c r="A319" s="5" t="s">
        <v>21</v>
      </c>
      <c r="H319" s="5" t="s">
        <v>6</v>
      </c>
    </row>
    <row r="320" spans="1:8" hidden="1">
      <c r="A320" s="5" t="s">
        <v>22</v>
      </c>
      <c r="H320" s="5" t="s">
        <v>6</v>
      </c>
    </row>
    <row r="321" spans="1:8" hidden="1">
      <c r="A321" s="5" t="s">
        <v>23</v>
      </c>
      <c r="H321" s="5" t="s">
        <v>6</v>
      </c>
    </row>
    <row r="322" spans="1:8" hidden="1">
      <c r="A322" s="5" t="s">
        <v>24</v>
      </c>
      <c r="H322" s="5" t="s">
        <v>6</v>
      </c>
    </row>
    <row r="323" spans="1:8" hidden="1">
      <c r="A323" s="5" t="s">
        <v>25</v>
      </c>
      <c r="H323" s="5" t="s">
        <v>6</v>
      </c>
    </row>
    <row r="324" spans="1:8" hidden="1">
      <c r="A324" s="5" t="s">
        <v>26</v>
      </c>
      <c r="H324" s="5" t="s">
        <v>6</v>
      </c>
    </row>
    <row r="325" spans="1:8" hidden="1">
      <c r="A325" s="5" t="s">
        <v>27</v>
      </c>
      <c r="H325" s="5" t="s">
        <v>6</v>
      </c>
    </row>
    <row r="326" spans="1:8" hidden="1">
      <c r="A326" s="5" t="s">
        <v>6</v>
      </c>
      <c r="H326" s="5" t="s">
        <v>6</v>
      </c>
    </row>
    <row r="327" spans="1:8" hidden="1">
      <c r="A327" s="5" t="s">
        <v>28</v>
      </c>
      <c r="H327" s="5" t="s">
        <v>6</v>
      </c>
    </row>
    <row r="328" spans="1:8" hidden="1">
      <c r="A328" s="5" t="s">
        <v>29</v>
      </c>
      <c r="H328" s="5" t="s">
        <v>6</v>
      </c>
    </row>
    <row r="329" spans="1:8" hidden="1">
      <c r="A329" s="6"/>
      <c r="H329" s="5" t="s">
        <v>6</v>
      </c>
    </row>
    <row r="330" spans="1:8" hidden="1">
      <c r="A330" s="6"/>
      <c r="H330" s="5" t="s">
        <v>6</v>
      </c>
    </row>
    <row r="331" spans="1:8" hidden="1">
      <c r="A331" s="5" t="s">
        <v>6</v>
      </c>
      <c r="H331" s="5" t="s">
        <v>6</v>
      </c>
    </row>
    <row r="332" spans="1:8" hidden="1">
      <c r="A332" s="5" t="s">
        <v>30</v>
      </c>
      <c r="H332" s="5" t="s">
        <v>6</v>
      </c>
    </row>
    <row r="333" spans="1:8" hidden="1">
      <c r="A333" s="6"/>
      <c r="H333" s="5" t="s">
        <v>6</v>
      </c>
    </row>
    <row r="334" spans="1:8" hidden="1">
      <c r="A334" s="5" t="s">
        <v>31</v>
      </c>
      <c r="H334" s="5" t="s">
        <v>6</v>
      </c>
    </row>
    <row r="335" spans="1:8" hidden="1">
      <c r="A335" s="5" t="s">
        <v>32</v>
      </c>
      <c r="H335" s="5" t="s">
        <v>6</v>
      </c>
    </row>
    <row r="336" spans="1:8" hidden="1">
      <c r="A336" s="5" t="s">
        <v>33</v>
      </c>
      <c r="H336" s="5" t="s">
        <v>6</v>
      </c>
    </row>
    <row r="337" spans="1:8" hidden="1">
      <c r="A337" s="5" t="s">
        <v>34</v>
      </c>
      <c r="H337" s="5" t="s">
        <v>6</v>
      </c>
    </row>
    <row r="338" spans="1:8" hidden="1">
      <c r="A338" s="5" t="s">
        <v>35</v>
      </c>
      <c r="H338" s="5" t="s">
        <v>6</v>
      </c>
    </row>
    <row r="339" spans="1:8" hidden="1">
      <c r="A339" s="5" t="s">
        <v>36</v>
      </c>
      <c r="H339" s="5" t="s">
        <v>6</v>
      </c>
    </row>
    <row r="340" spans="1:8" hidden="1">
      <c r="A340" s="5" t="s">
        <v>37</v>
      </c>
      <c r="H340" s="5" t="s">
        <v>6</v>
      </c>
    </row>
    <row r="341" spans="1:8" hidden="1">
      <c r="A341" s="5" t="s">
        <v>38</v>
      </c>
      <c r="H341" s="5" t="s">
        <v>6</v>
      </c>
    </row>
    <row r="342" spans="1:8" hidden="1">
      <c r="A342" s="5" t="s">
        <v>39</v>
      </c>
      <c r="H342" s="5" t="s">
        <v>6</v>
      </c>
    </row>
    <row r="343" spans="1:8" hidden="1">
      <c r="A343" s="6"/>
      <c r="H343" s="5" t="s">
        <v>6</v>
      </c>
    </row>
    <row r="344" spans="1:8" hidden="1">
      <c r="A344" s="5" t="s">
        <v>75</v>
      </c>
      <c r="H344" s="5" t="s">
        <v>6</v>
      </c>
    </row>
    <row r="345" spans="1:8" hidden="1">
      <c r="A345" s="5" t="s">
        <v>76</v>
      </c>
      <c r="H345" s="5" t="s">
        <v>6</v>
      </c>
    </row>
    <row r="346" spans="1:8" hidden="1">
      <c r="A346" s="6"/>
      <c r="H346" s="5" t="s">
        <v>6</v>
      </c>
    </row>
    <row r="347" spans="1:8" hidden="1">
      <c r="A347" s="6"/>
      <c r="H347" s="5" t="s">
        <v>6</v>
      </c>
    </row>
    <row r="348" spans="1:8" hidden="1">
      <c r="A348" s="6"/>
      <c r="H348" s="5" t="s">
        <v>6</v>
      </c>
    </row>
    <row r="349" spans="1:8" hidden="1">
      <c r="A349" s="6"/>
      <c r="H349" s="5" t="s">
        <v>6</v>
      </c>
    </row>
    <row r="350" spans="1:8" hidden="1">
      <c r="A350" s="5" t="s">
        <v>6</v>
      </c>
      <c r="H350" s="5" t="s">
        <v>6</v>
      </c>
    </row>
    <row r="351" spans="1:8" hidden="1">
      <c r="A351" s="5" t="s">
        <v>40</v>
      </c>
      <c r="H351" s="5" t="s">
        <v>6</v>
      </c>
    </row>
    <row r="352" spans="1:8" hidden="1">
      <c r="A352" s="6"/>
      <c r="H352" s="5" t="s">
        <v>6</v>
      </c>
    </row>
    <row r="353" spans="1:8" hidden="1">
      <c r="A353" s="5" t="s">
        <v>41</v>
      </c>
      <c r="H353" s="5" t="s">
        <v>6</v>
      </c>
    </row>
    <row r="354" spans="1:8" hidden="1">
      <c r="A354" s="6"/>
      <c r="H354" s="5" t="s">
        <v>6</v>
      </c>
    </row>
    <row r="355" spans="1:8" hidden="1">
      <c r="A355" s="5" t="s">
        <v>42</v>
      </c>
      <c r="H355" s="5" t="s">
        <v>6</v>
      </c>
    </row>
    <row r="356" spans="1:8" hidden="1">
      <c r="A356" s="6"/>
      <c r="H356" s="5" t="s">
        <v>6</v>
      </c>
    </row>
    <row r="357" spans="1:8" hidden="1">
      <c r="A357" s="5" t="s">
        <v>43</v>
      </c>
      <c r="H357" s="5" t="s">
        <v>6</v>
      </c>
    </row>
    <row r="358" spans="1:8" hidden="1">
      <c r="A358" s="5" t="s">
        <v>44</v>
      </c>
      <c r="H358" s="5" t="s">
        <v>6</v>
      </c>
    </row>
    <row r="359" spans="1:8" hidden="1">
      <c r="A359" s="5" t="s">
        <v>45</v>
      </c>
      <c r="H359" s="5" t="s">
        <v>6</v>
      </c>
    </row>
    <row r="360" spans="1:8" hidden="1">
      <c r="A360" s="5" t="s">
        <v>46</v>
      </c>
      <c r="H360" s="5" t="s">
        <v>6</v>
      </c>
    </row>
    <row r="361" spans="1:8" hidden="1">
      <c r="A361" s="5" t="s">
        <v>47</v>
      </c>
      <c r="H361" s="5" t="s">
        <v>6</v>
      </c>
    </row>
    <row r="362" spans="1:8" hidden="1">
      <c r="A362" s="5" t="s">
        <v>37</v>
      </c>
      <c r="H362" s="5" t="s">
        <v>6</v>
      </c>
    </row>
    <row r="363" spans="1:8" hidden="1">
      <c r="A363" s="6"/>
      <c r="H363" s="5" t="s">
        <v>6</v>
      </c>
    </row>
    <row r="364" spans="1:8" hidden="1">
      <c r="A364" s="5" t="s">
        <v>75</v>
      </c>
      <c r="H364" s="5" t="s">
        <v>6</v>
      </c>
    </row>
    <row r="365" spans="1:8" hidden="1">
      <c r="A365" s="5" t="s">
        <v>76</v>
      </c>
      <c r="H365" s="5" t="s">
        <v>6</v>
      </c>
    </row>
    <row r="366" spans="1:8" hidden="1">
      <c r="A366" s="6"/>
      <c r="H366" s="5" t="s">
        <v>6</v>
      </c>
    </row>
    <row r="367" spans="1:8" hidden="1">
      <c r="A367" s="6"/>
      <c r="H367" s="5" t="s">
        <v>6</v>
      </c>
    </row>
    <row r="368" spans="1:8" hidden="1">
      <c r="A368" s="5" t="s">
        <v>3</v>
      </c>
      <c r="H368" s="5" t="s">
        <v>6</v>
      </c>
    </row>
    <row r="369" spans="1:8" hidden="1">
      <c r="A369" s="5" t="s">
        <v>4</v>
      </c>
      <c r="H369" s="5" t="s">
        <v>6</v>
      </c>
    </row>
    <row r="370" spans="1:8" hidden="1">
      <c r="A370" s="5" t="s">
        <v>5</v>
      </c>
      <c r="H370" s="5" t="s">
        <v>6</v>
      </c>
    </row>
    <row r="371" spans="1:8" hidden="1">
      <c r="A371" s="5" t="s">
        <v>6</v>
      </c>
      <c r="H371" s="5" t="s">
        <v>6</v>
      </c>
    </row>
    <row r="372" spans="1:8" hidden="1">
      <c r="A372" s="5" t="s">
        <v>7</v>
      </c>
      <c r="H372" s="5" t="s">
        <v>6</v>
      </c>
    </row>
    <row r="373" spans="1:8" hidden="1">
      <c r="A373" s="5" t="s">
        <v>6</v>
      </c>
      <c r="H373" s="5" t="s">
        <v>6</v>
      </c>
    </row>
    <row r="374" spans="1:8" hidden="1">
      <c r="A374" s="5" t="s">
        <v>80</v>
      </c>
      <c r="H374" s="5" t="s">
        <v>6</v>
      </c>
    </row>
    <row r="375" spans="1:8" hidden="1">
      <c r="A375" s="5" t="s">
        <v>81</v>
      </c>
      <c r="H375" s="5" t="s">
        <v>6</v>
      </c>
    </row>
    <row r="376" spans="1:8" hidden="1">
      <c r="A376" s="6"/>
      <c r="H376" s="5" t="s">
        <v>6</v>
      </c>
    </row>
    <row r="377" spans="1:8" hidden="1">
      <c r="A377" s="5" t="s">
        <v>82</v>
      </c>
      <c r="H377" s="5" t="s">
        <v>6</v>
      </c>
    </row>
    <row r="378" spans="1:8" hidden="1">
      <c r="A378" s="5" t="s">
        <v>77</v>
      </c>
      <c r="H378" s="5" t="s">
        <v>6</v>
      </c>
    </row>
    <row r="379" spans="1:8" hidden="1">
      <c r="A379" s="5" t="s">
        <v>6</v>
      </c>
      <c r="H379" s="5" t="s">
        <v>6</v>
      </c>
    </row>
    <row r="380" spans="1:8" hidden="1">
      <c r="A380" s="5" t="s">
        <v>83</v>
      </c>
      <c r="H380" s="5" t="s">
        <v>6</v>
      </c>
    </row>
    <row r="381" spans="1:8" hidden="1">
      <c r="A381" s="5" t="s">
        <v>17</v>
      </c>
      <c r="H381" s="5" t="s">
        <v>6</v>
      </c>
    </row>
    <row r="382" spans="1:8" hidden="1">
      <c r="A382" s="5" t="s">
        <v>84</v>
      </c>
      <c r="H382" s="5" t="s">
        <v>6</v>
      </c>
    </row>
    <row r="383" spans="1:8" hidden="1">
      <c r="A383" s="6"/>
      <c r="H383" s="5" t="s">
        <v>6</v>
      </c>
    </row>
    <row r="384" spans="1:8" hidden="1">
      <c r="A384" s="5" t="s">
        <v>19</v>
      </c>
      <c r="H384" s="5" t="s">
        <v>6</v>
      </c>
    </row>
    <row r="385" spans="1:8" hidden="1">
      <c r="A385" s="5" t="s">
        <v>20</v>
      </c>
      <c r="H385" s="5" t="s">
        <v>6</v>
      </c>
    </row>
    <row r="386" spans="1:8" hidden="1">
      <c r="A386" s="5" t="s">
        <v>21</v>
      </c>
      <c r="H386" s="5" t="s">
        <v>6</v>
      </c>
    </row>
    <row r="387" spans="1:8" hidden="1">
      <c r="A387" s="5" t="s">
        <v>22</v>
      </c>
      <c r="H387" s="5" t="s">
        <v>6</v>
      </c>
    </row>
    <row r="388" spans="1:8" hidden="1">
      <c r="A388" s="5" t="s">
        <v>23</v>
      </c>
      <c r="H388" s="5" t="s">
        <v>6</v>
      </c>
    </row>
    <row r="389" spans="1:8" hidden="1">
      <c r="A389" s="5" t="s">
        <v>24</v>
      </c>
      <c r="H389" s="5" t="s">
        <v>6</v>
      </c>
    </row>
    <row r="390" spans="1:8" hidden="1">
      <c r="A390" s="5" t="s">
        <v>25</v>
      </c>
      <c r="H390" s="5" t="s">
        <v>6</v>
      </c>
    </row>
    <row r="391" spans="1:8" hidden="1">
      <c r="A391" s="5" t="s">
        <v>26</v>
      </c>
      <c r="H391" s="5" t="s">
        <v>6</v>
      </c>
    </row>
    <row r="392" spans="1:8" hidden="1">
      <c r="A392" s="5" t="s">
        <v>27</v>
      </c>
      <c r="H392" s="5" t="s">
        <v>6</v>
      </c>
    </row>
    <row r="393" spans="1:8" hidden="1">
      <c r="A393" s="5" t="s">
        <v>6</v>
      </c>
      <c r="H393" s="5" t="s">
        <v>6</v>
      </c>
    </row>
    <row r="394" spans="1:8" hidden="1">
      <c r="A394" s="5" t="s">
        <v>28</v>
      </c>
      <c r="H394" s="5" t="s">
        <v>6</v>
      </c>
    </row>
    <row r="395" spans="1:8" hidden="1">
      <c r="A395" s="5" t="s">
        <v>29</v>
      </c>
      <c r="H395" s="5" t="s">
        <v>6</v>
      </c>
    </row>
    <row r="396" spans="1:8" hidden="1">
      <c r="A396" s="6"/>
      <c r="H396" s="5" t="s">
        <v>6</v>
      </c>
    </row>
    <row r="397" spans="1:8" hidden="1">
      <c r="A397" s="6"/>
      <c r="H397" s="5" t="s">
        <v>6</v>
      </c>
    </row>
    <row r="398" spans="1:8" hidden="1">
      <c r="A398" s="5" t="s">
        <v>6</v>
      </c>
      <c r="H398" s="5" t="s">
        <v>6</v>
      </c>
    </row>
    <row r="399" spans="1:8" hidden="1">
      <c r="A399" s="5" t="s">
        <v>30</v>
      </c>
      <c r="H399" s="5" t="s">
        <v>6</v>
      </c>
    </row>
    <row r="400" spans="1:8" hidden="1">
      <c r="A400" s="6"/>
      <c r="H400" s="5" t="s">
        <v>6</v>
      </c>
    </row>
    <row r="401" spans="1:8" hidden="1">
      <c r="A401" s="5" t="s">
        <v>31</v>
      </c>
      <c r="H401" s="5" t="s">
        <v>6</v>
      </c>
    </row>
    <row r="402" spans="1:8" hidden="1">
      <c r="A402" s="5" t="s">
        <v>32</v>
      </c>
      <c r="H402" s="5" t="s">
        <v>6</v>
      </c>
    </row>
    <row r="403" spans="1:8" hidden="1">
      <c r="A403" s="5" t="s">
        <v>33</v>
      </c>
      <c r="H403" s="5" t="s">
        <v>6</v>
      </c>
    </row>
    <row r="404" spans="1:8" hidden="1">
      <c r="A404" s="5" t="s">
        <v>34</v>
      </c>
      <c r="H404" s="5" t="s">
        <v>6</v>
      </c>
    </row>
    <row r="405" spans="1:8" hidden="1">
      <c r="A405" s="5" t="s">
        <v>35</v>
      </c>
      <c r="H405" s="5" t="s">
        <v>6</v>
      </c>
    </row>
    <row r="406" spans="1:8" hidden="1">
      <c r="A406" s="5" t="s">
        <v>36</v>
      </c>
      <c r="H406" s="5" t="s">
        <v>6</v>
      </c>
    </row>
    <row r="407" spans="1:8" hidden="1">
      <c r="A407" s="5" t="s">
        <v>37</v>
      </c>
      <c r="H407" s="5" t="s">
        <v>6</v>
      </c>
    </row>
    <row r="408" spans="1:8" hidden="1">
      <c r="A408" s="5" t="s">
        <v>38</v>
      </c>
      <c r="H408" s="5" t="s">
        <v>6</v>
      </c>
    </row>
    <row r="409" spans="1:8" hidden="1">
      <c r="A409" s="5" t="s">
        <v>39</v>
      </c>
      <c r="H409" s="5" t="s">
        <v>6</v>
      </c>
    </row>
    <row r="410" spans="1:8" hidden="1">
      <c r="A410" s="6"/>
      <c r="H410" s="5" t="s">
        <v>6</v>
      </c>
    </row>
    <row r="411" spans="1:8" hidden="1">
      <c r="A411" s="5" t="s">
        <v>80</v>
      </c>
      <c r="H411" s="5" t="s">
        <v>6</v>
      </c>
    </row>
    <row r="412" spans="1:8" hidden="1">
      <c r="A412" s="5" t="s">
        <v>81</v>
      </c>
      <c r="H412" s="5" t="s">
        <v>6</v>
      </c>
    </row>
    <row r="413" spans="1:8" hidden="1">
      <c r="A413" s="6"/>
      <c r="H413" s="5" t="s">
        <v>6</v>
      </c>
    </row>
    <row r="414" spans="1:8" hidden="1">
      <c r="A414" s="6"/>
      <c r="H414" s="5" t="s">
        <v>6</v>
      </c>
    </row>
    <row r="415" spans="1:8" hidden="1">
      <c r="A415" s="5" t="s">
        <v>3</v>
      </c>
      <c r="H415" s="5" t="s">
        <v>6</v>
      </c>
    </row>
    <row r="416" spans="1:8" hidden="1">
      <c r="A416" s="5" t="s">
        <v>4</v>
      </c>
      <c r="H416" s="5" t="s">
        <v>6</v>
      </c>
    </row>
    <row r="417" spans="1:8" hidden="1">
      <c r="A417" s="5" t="s">
        <v>5</v>
      </c>
      <c r="H417" s="5" t="s">
        <v>6</v>
      </c>
    </row>
    <row r="418" spans="1:8" hidden="1">
      <c r="A418" s="5" t="s">
        <v>6</v>
      </c>
      <c r="H418" s="5" t="s">
        <v>6</v>
      </c>
    </row>
    <row r="419" spans="1:8" hidden="1">
      <c r="A419" s="5" t="s">
        <v>7</v>
      </c>
      <c r="H419" s="5" t="s">
        <v>6</v>
      </c>
    </row>
    <row r="420" spans="1:8" hidden="1">
      <c r="A420" s="5" t="s">
        <v>6</v>
      </c>
      <c r="H420" s="5" t="s">
        <v>6</v>
      </c>
    </row>
    <row r="421" spans="1:8" hidden="1">
      <c r="A421" s="5" t="s">
        <v>85</v>
      </c>
      <c r="H421" s="5" t="s">
        <v>6</v>
      </c>
    </row>
    <row r="422" spans="1:8" hidden="1">
      <c r="A422" s="5" t="s">
        <v>86</v>
      </c>
      <c r="H422" s="5" t="s">
        <v>11</v>
      </c>
    </row>
    <row r="423" spans="1:8" hidden="1">
      <c r="A423" s="6"/>
      <c r="H423" s="5" t="s">
        <v>11</v>
      </c>
    </row>
    <row r="424" spans="1:8" hidden="1">
      <c r="A424" s="5" t="s">
        <v>87</v>
      </c>
      <c r="H424" s="5" t="s">
        <v>11</v>
      </c>
    </row>
    <row r="425" spans="1:8" hidden="1">
      <c r="A425" s="5" t="s">
        <v>88</v>
      </c>
      <c r="H425" s="5" t="s">
        <v>49</v>
      </c>
    </row>
    <row r="426" spans="1:8" hidden="1">
      <c r="A426" s="5" t="s">
        <v>89</v>
      </c>
      <c r="H426" s="5" t="s">
        <v>49</v>
      </c>
    </row>
    <row r="427" spans="1:8" hidden="1">
      <c r="A427" s="5" t="s">
        <v>90</v>
      </c>
      <c r="H427" s="5" t="s">
        <v>49</v>
      </c>
    </row>
    <row r="428" spans="1:8" hidden="1">
      <c r="A428" s="5" t="s">
        <v>6</v>
      </c>
      <c r="H428" s="5" t="s">
        <v>56</v>
      </c>
    </row>
    <row r="429" spans="1:8" hidden="1">
      <c r="A429" s="5" t="s">
        <v>91</v>
      </c>
      <c r="H429" s="5" t="s">
        <v>56</v>
      </c>
    </row>
    <row r="430" spans="1:8" hidden="1">
      <c r="A430" s="5" t="s">
        <v>63</v>
      </c>
      <c r="H430" s="5" t="s">
        <v>56</v>
      </c>
    </row>
    <row r="431" spans="1:8" hidden="1">
      <c r="A431" s="5" t="s">
        <v>92</v>
      </c>
      <c r="H431" s="5" t="s">
        <v>66</v>
      </c>
    </row>
    <row r="432" spans="1:8" hidden="1">
      <c r="A432" s="6"/>
      <c r="H432" s="5" t="s">
        <v>66</v>
      </c>
    </row>
    <row r="433" spans="1:8" hidden="1">
      <c r="A433" s="5" t="s">
        <v>18</v>
      </c>
      <c r="H433" s="5" t="s">
        <v>66</v>
      </c>
    </row>
    <row r="434" spans="1:8" hidden="1">
      <c r="A434" s="7">
        <v>45000</v>
      </c>
      <c r="H434" s="5" t="s">
        <v>76</v>
      </c>
    </row>
    <row r="435" spans="1:8" hidden="1">
      <c r="A435" s="6"/>
      <c r="H435" s="5" t="s">
        <v>76</v>
      </c>
    </row>
    <row r="436" spans="1:8" hidden="1">
      <c r="A436" s="5" t="s">
        <v>19</v>
      </c>
      <c r="H436" s="5" t="s">
        <v>76</v>
      </c>
    </row>
    <row r="437" spans="1:8" hidden="1">
      <c r="A437" s="5" t="s">
        <v>20</v>
      </c>
      <c r="H437" s="5" t="s">
        <v>81</v>
      </c>
    </row>
    <row r="438" spans="1:8" hidden="1">
      <c r="A438" s="5" t="s">
        <v>21</v>
      </c>
      <c r="H438" s="5" t="s">
        <v>81</v>
      </c>
    </row>
    <row r="439" spans="1:8" hidden="1">
      <c r="A439" s="5" t="s">
        <v>22</v>
      </c>
      <c r="H439" s="5" t="s">
        <v>86</v>
      </c>
    </row>
    <row r="440" spans="1:8" hidden="1">
      <c r="A440" s="5" t="s">
        <v>23</v>
      </c>
      <c r="H440" s="5" t="s">
        <v>86</v>
      </c>
    </row>
    <row r="441" spans="1:8" hidden="1">
      <c r="A441" s="5" t="s">
        <v>24</v>
      </c>
      <c r="H441" s="5" t="s">
        <v>86</v>
      </c>
    </row>
    <row r="442" spans="1:8" hidden="1">
      <c r="A442" s="5" t="s">
        <v>25</v>
      </c>
      <c r="H442" s="5" t="s">
        <v>94</v>
      </c>
    </row>
    <row r="443" spans="1:8" hidden="1">
      <c r="A443" s="5" t="s">
        <v>26</v>
      </c>
      <c r="H443" s="5" t="s">
        <v>94</v>
      </c>
    </row>
    <row r="444" spans="1:8" hidden="1">
      <c r="A444" s="5" t="s">
        <v>27</v>
      </c>
      <c r="H444" s="5" t="s">
        <v>99</v>
      </c>
    </row>
    <row r="445" spans="1:8" hidden="1">
      <c r="A445" s="5" t="s">
        <v>6</v>
      </c>
      <c r="H445" s="5" t="s">
        <v>99</v>
      </c>
    </row>
    <row r="446" spans="1:8" hidden="1">
      <c r="A446" s="5" t="s">
        <v>28</v>
      </c>
      <c r="H446" s="5" t="s">
        <v>99</v>
      </c>
    </row>
    <row r="447" spans="1:8" hidden="1">
      <c r="A447" s="5" t="s">
        <v>29</v>
      </c>
      <c r="H447" s="5" t="s">
        <v>102</v>
      </c>
    </row>
    <row r="448" spans="1:8" hidden="1">
      <c r="A448" s="6"/>
      <c r="H448" s="5" t="s">
        <v>102</v>
      </c>
    </row>
    <row r="449" spans="1:8" hidden="1">
      <c r="A449" s="6"/>
      <c r="H449" s="5" t="s">
        <v>105</v>
      </c>
    </row>
    <row r="450" spans="1:8" hidden="1">
      <c r="A450" s="5" t="s">
        <v>6</v>
      </c>
      <c r="H450" s="5" t="s">
        <v>105</v>
      </c>
    </row>
    <row r="451" spans="1:8" hidden="1">
      <c r="A451" s="5" t="s">
        <v>30</v>
      </c>
      <c r="H451" s="5" t="s">
        <v>105</v>
      </c>
    </row>
    <row r="452" spans="1:8" hidden="1">
      <c r="A452" s="6"/>
      <c r="H452" s="5" t="s">
        <v>108</v>
      </c>
    </row>
    <row r="453" spans="1:8" hidden="1">
      <c r="A453" s="5" t="s">
        <v>31</v>
      </c>
      <c r="H453" s="5" t="s">
        <v>108</v>
      </c>
    </row>
    <row r="454" spans="1:8" hidden="1">
      <c r="A454" s="5" t="s">
        <v>32</v>
      </c>
      <c r="H454" s="5" t="s">
        <v>113</v>
      </c>
    </row>
    <row r="455" spans="1:8" hidden="1">
      <c r="A455" s="5" t="s">
        <v>33</v>
      </c>
      <c r="H455" s="5" t="s">
        <v>113</v>
      </c>
    </row>
    <row r="456" spans="1:8" hidden="1">
      <c r="A456" s="5" t="s">
        <v>34</v>
      </c>
      <c r="H456" s="5" t="s">
        <v>113</v>
      </c>
    </row>
    <row r="457" spans="1:8" hidden="1">
      <c r="A457" s="5" t="s">
        <v>35</v>
      </c>
      <c r="H457" s="5" t="s">
        <v>116</v>
      </c>
    </row>
    <row r="458" spans="1:8" hidden="1">
      <c r="A458" s="5" t="s">
        <v>36</v>
      </c>
      <c r="H458" s="5" t="s">
        <v>116</v>
      </c>
    </row>
    <row r="459" spans="1:8" hidden="1">
      <c r="A459" s="5" t="s">
        <v>37</v>
      </c>
      <c r="H459" s="5" t="s">
        <v>116</v>
      </c>
    </row>
    <row r="460" spans="1:8" hidden="1">
      <c r="A460" s="5" t="s">
        <v>38</v>
      </c>
      <c r="H460" s="5" t="s">
        <v>118</v>
      </c>
    </row>
    <row r="461" spans="1:8" hidden="1">
      <c r="A461" s="5" t="s">
        <v>39</v>
      </c>
      <c r="H461" s="5" t="s">
        <v>118</v>
      </c>
    </row>
    <row r="462" spans="1:8" hidden="1">
      <c r="A462" s="6"/>
      <c r="H462" s="5" t="s">
        <v>118</v>
      </c>
    </row>
    <row r="463" spans="1:8" hidden="1">
      <c r="A463" s="5" t="s">
        <v>85</v>
      </c>
      <c r="H463" s="5" t="s">
        <v>123</v>
      </c>
    </row>
    <row r="464" spans="1:8" hidden="1">
      <c r="A464" s="5" t="s">
        <v>86</v>
      </c>
      <c r="H464" s="5" t="s">
        <v>123</v>
      </c>
    </row>
    <row r="465" spans="1:8" hidden="1">
      <c r="A465" s="6"/>
      <c r="H465" s="5" t="s">
        <v>123</v>
      </c>
    </row>
    <row r="466" spans="1:8" hidden="1">
      <c r="A466" s="6"/>
      <c r="H466" s="5" t="s">
        <v>129</v>
      </c>
    </row>
    <row r="467" spans="1:8" hidden="1">
      <c r="A467" s="6"/>
      <c r="H467" s="5" t="s">
        <v>129</v>
      </c>
    </row>
    <row r="468" spans="1:8" hidden="1">
      <c r="A468" s="6"/>
      <c r="H468" s="5" t="s">
        <v>129</v>
      </c>
    </row>
    <row r="469" spans="1:8" hidden="1">
      <c r="A469" s="5" t="s">
        <v>6</v>
      </c>
      <c r="H469" s="5" t="s">
        <v>133</v>
      </c>
    </row>
    <row r="470" spans="1:8" hidden="1">
      <c r="A470" s="5" t="s">
        <v>40</v>
      </c>
      <c r="H470" s="5" t="s">
        <v>133</v>
      </c>
    </row>
    <row r="471" spans="1:8" hidden="1">
      <c r="A471" s="6"/>
      <c r="H471" s="5" t="s">
        <v>135</v>
      </c>
    </row>
    <row r="472" spans="1:8" hidden="1">
      <c r="A472" s="5" t="s">
        <v>41</v>
      </c>
      <c r="H472" s="5" t="s">
        <v>135</v>
      </c>
    </row>
    <row r="473" spans="1:8" hidden="1">
      <c r="A473" s="6"/>
      <c r="H473" s="5" t="s">
        <v>135</v>
      </c>
    </row>
    <row r="474" spans="1:8" hidden="1">
      <c r="A474" s="5" t="s">
        <v>42</v>
      </c>
      <c r="H474" s="5" t="s">
        <v>137</v>
      </c>
    </row>
    <row r="475" spans="1:8" hidden="1">
      <c r="A475" s="6"/>
      <c r="H475" s="5" t="s">
        <v>137</v>
      </c>
    </row>
    <row r="476" spans="1:8" hidden="1">
      <c r="A476" s="5" t="s">
        <v>43</v>
      </c>
      <c r="H476" s="5" t="s">
        <v>137</v>
      </c>
    </row>
    <row r="477" spans="1:8" hidden="1">
      <c r="A477" s="5" t="s">
        <v>44</v>
      </c>
      <c r="H477" s="5" t="s">
        <v>140</v>
      </c>
    </row>
    <row r="478" spans="1:8" hidden="1">
      <c r="A478" s="5" t="s">
        <v>45</v>
      </c>
      <c r="H478" s="5" t="s">
        <v>140</v>
      </c>
    </row>
    <row r="479" spans="1:8" hidden="1">
      <c r="A479" s="5" t="s">
        <v>46</v>
      </c>
      <c r="H479" s="5" t="s">
        <v>140</v>
      </c>
    </row>
    <row r="480" spans="1:8" hidden="1">
      <c r="A480" s="5" t="s">
        <v>47</v>
      </c>
      <c r="H480" s="5" t="s">
        <v>150</v>
      </c>
    </row>
    <row r="481" spans="1:8" hidden="1">
      <c r="A481" s="5" t="s">
        <v>37</v>
      </c>
      <c r="H481" s="5" t="s">
        <v>150</v>
      </c>
    </row>
    <row r="482" spans="1:8" hidden="1">
      <c r="A482" s="6"/>
      <c r="H482" s="5" t="s">
        <v>150</v>
      </c>
    </row>
    <row r="483" spans="1:8" hidden="1">
      <c r="A483" s="5" t="s">
        <v>85</v>
      </c>
      <c r="H483" s="5" t="s">
        <v>156</v>
      </c>
    </row>
    <row r="484" spans="1:8" hidden="1">
      <c r="A484" s="5" t="s">
        <v>86</v>
      </c>
      <c r="H484" s="5" t="s">
        <v>156</v>
      </c>
    </row>
    <row r="485" spans="1:8" hidden="1">
      <c r="A485" s="6"/>
      <c r="H485" s="5" t="s">
        <v>156</v>
      </c>
    </row>
    <row r="486" spans="1:8" hidden="1">
      <c r="A486" s="6"/>
      <c r="H486" s="5" t="s">
        <v>170</v>
      </c>
    </row>
    <row r="487" spans="1:8" hidden="1">
      <c r="A487" s="5" t="s">
        <v>3</v>
      </c>
      <c r="H487" s="5" t="s">
        <v>170</v>
      </c>
    </row>
    <row r="488" spans="1:8" hidden="1">
      <c r="A488" s="5" t="s">
        <v>4</v>
      </c>
      <c r="H488" s="5" t="s">
        <v>178</v>
      </c>
    </row>
    <row r="489" spans="1:8" hidden="1">
      <c r="A489" s="5" t="s">
        <v>5</v>
      </c>
      <c r="H489" s="5" t="s">
        <v>178</v>
      </c>
    </row>
    <row r="490" spans="1:8" hidden="1">
      <c r="A490" s="5" t="s">
        <v>6</v>
      </c>
      <c r="H490" s="5" t="s">
        <v>178</v>
      </c>
    </row>
    <row r="491" spans="1:8" hidden="1">
      <c r="A491" s="5" t="s">
        <v>7</v>
      </c>
      <c r="H491" s="5" t="s">
        <v>185</v>
      </c>
    </row>
    <row r="492" spans="1:8" hidden="1">
      <c r="A492" s="5" t="s">
        <v>6</v>
      </c>
      <c r="H492" s="5" t="s">
        <v>185</v>
      </c>
    </row>
    <row r="493" spans="1:8" hidden="1">
      <c r="A493" s="5" t="s">
        <v>93</v>
      </c>
      <c r="H493" s="5" t="s">
        <v>185</v>
      </c>
    </row>
    <row r="494" spans="1:8" hidden="1">
      <c r="A494" s="5" t="s">
        <v>94</v>
      </c>
      <c r="H494" s="5" t="s">
        <v>187</v>
      </c>
    </row>
    <row r="495" spans="1:8" hidden="1">
      <c r="A495" s="6"/>
      <c r="H495" s="5" t="s">
        <v>187</v>
      </c>
    </row>
    <row r="496" spans="1:8" hidden="1">
      <c r="A496" s="5" t="s">
        <v>95</v>
      </c>
      <c r="H496" s="5" t="s">
        <v>187</v>
      </c>
    </row>
    <row r="497" spans="1:8" hidden="1">
      <c r="A497" s="5" t="s">
        <v>61</v>
      </c>
      <c r="H497" s="5" t="s">
        <v>190</v>
      </c>
    </row>
    <row r="498" spans="1:8" hidden="1">
      <c r="A498" s="5" t="s">
        <v>6</v>
      </c>
      <c r="H498" s="5" t="s">
        <v>190</v>
      </c>
    </row>
    <row r="499" spans="1:8" hidden="1">
      <c r="A499" s="5" t="s">
        <v>96</v>
      </c>
      <c r="H499" s="5" t="s">
        <v>190</v>
      </c>
    </row>
    <row r="500" spans="1:8" hidden="1">
      <c r="A500" s="5" t="s">
        <v>97</v>
      </c>
      <c r="H500" s="5" t="s">
        <v>199</v>
      </c>
    </row>
    <row r="501" spans="1:8" hidden="1">
      <c r="A501" s="6"/>
      <c r="H501" s="5" t="s">
        <v>199</v>
      </c>
    </row>
    <row r="502" spans="1:8" hidden="1">
      <c r="A502" s="5" t="s">
        <v>19</v>
      </c>
      <c r="H502" s="5" t="s">
        <v>199</v>
      </c>
    </row>
    <row r="503" spans="1:8" hidden="1">
      <c r="A503" s="5" t="s">
        <v>20</v>
      </c>
      <c r="H503" s="5" t="s">
        <v>202</v>
      </c>
    </row>
    <row r="504" spans="1:8" hidden="1">
      <c r="A504" s="5" t="s">
        <v>21</v>
      </c>
      <c r="H504" s="5" t="s">
        <v>202</v>
      </c>
    </row>
    <row r="505" spans="1:8" hidden="1">
      <c r="A505" s="5" t="s">
        <v>22</v>
      </c>
      <c r="H505" s="5" t="s">
        <v>202</v>
      </c>
    </row>
    <row r="506" spans="1:8" hidden="1">
      <c r="A506" s="5" t="s">
        <v>23</v>
      </c>
      <c r="H506" s="5" t="s">
        <v>212</v>
      </c>
    </row>
    <row r="507" spans="1:8" hidden="1">
      <c r="A507" s="5" t="s">
        <v>24</v>
      </c>
      <c r="H507" s="5" t="s">
        <v>212</v>
      </c>
    </row>
    <row r="508" spans="1:8" hidden="1">
      <c r="A508" s="5" t="s">
        <v>25</v>
      </c>
      <c r="H508" s="5" t="s">
        <v>212</v>
      </c>
    </row>
    <row r="509" spans="1:8" hidden="1">
      <c r="A509" s="5" t="s">
        <v>26</v>
      </c>
      <c r="H509" s="5" t="s">
        <v>215</v>
      </c>
    </row>
    <row r="510" spans="1:8" hidden="1">
      <c r="A510" s="5" t="s">
        <v>27</v>
      </c>
      <c r="H510" s="5" t="s">
        <v>215</v>
      </c>
    </row>
    <row r="511" spans="1:8" hidden="1">
      <c r="A511" s="5" t="s">
        <v>6</v>
      </c>
      <c r="H511" s="5" t="s">
        <v>224</v>
      </c>
    </row>
    <row r="512" spans="1:8" hidden="1">
      <c r="A512" s="5" t="s">
        <v>28</v>
      </c>
      <c r="H512" s="5" t="s">
        <v>230</v>
      </c>
    </row>
    <row r="513" spans="1:8" hidden="1">
      <c r="A513" s="5" t="s">
        <v>29</v>
      </c>
      <c r="H513" s="5" t="s">
        <v>230</v>
      </c>
    </row>
    <row r="514" spans="1:8" hidden="1">
      <c r="A514" s="6"/>
      <c r="H514" s="5" t="s">
        <v>230</v>
      </c>
    </row>
    <row r="515" spans="1:8" hidden="1">
      <c r="A515" s="6"/>
      <c r="H515" s="5" t="s">
        <v>236</v>
      </c>
    </row>
    <row r="516" spans="1:8" hidden="1">
      <c r="A516" s="5" t="s">
        <v>6</v>
      </c>
      <c r="H516" s="5" t="s">
        <v>236</v>
      </c>
    </row>
    <row r="517" spans="1:8" hidden="1">
      <c r="A517" s="5" t="s">
        <v>30</v>
      </c>
      <c r="H517" s="5" t="s">
        <v>236</v>
      </c>
    </row>
    <row r="518" spans="1:8" hidden="1">
      <c r="A518" s="6"/>
      <c r="H518" s="5" t="s">
        <v>240</v>
      </c>
    </row>
    <row r="519" spans="1:8" hidden="1">
      <c r="A519" s="5" t="s">
        <v>31</v>
      </c>
      <c r="H519" s="5" t="s">
        <v>240</v>
      </c>
    </row>
    <row r="520" spans="1:8" hidden="1">
      <c r="A520" s="5" t="s">
        <v>32</v>
      </c>
      <c r="H520" s="5" t="s">
        <v>242</v>
      </c>
    </row>
    <row r="521" spans="1:8" hidden="1">
      <c r="A521" s="5" t="s">
        <v>33</v>
      </c>
      <c r="H521" s="5" t="s">
        <v>242</v>
      </c>
    </row>
    <row r="522" spans="1:8" hidden="1">
      <c r="A522" s="5" t="s">
        <v>34</v>
      </c>
      <c r="H522" s="5" t="s">
        <v>250</v>
      </c>
    </row>
    <row r="523" spans="1:8" hidden="1">
      <c r="A523" s="5" t="s">
        <v>35</v>
      </c>
      <c r="H523" s="5" t="s">
        <v>250</v>
      </c>
    </row>
    <row r="524" spans="1:8" hidden="1">
      <c r="A524" s="5" t="s">
        <v>36</v>
      </c>
      <c r="H524" s="5" t="s">
        <v>254</v>
      </c>
    </row>
    <row r="525" spans="1:8" hidden="1">
      <c r="A525" s="5" t="s">
        <v>37</v>
      </c>
      <c r="H525" s="5" t="s">
        <v>254</v>
      </c>
    </row>
    <row r="526" spans="1:8" hidden="1">
      <c r="A526" s="5" t="s">
        <v>38</v>
      </c>
      <c r="H526" s="5" t="s">
        <v>254</v>
      </c>
    </row>
    <row r="527" spans="1:8" hidden="1">
      <c r="A527" s="5" t="s">
        <v>39</v>
      </c>
      <c r="H527" s="5" t="s">
        <v>256</v>
      </c>
    </row>
    <row r="528" spans="1:8" hidden="1">
      <c r="A528" s="6"/>
      <c r="H528" s="5" t="s">
        <v>256</v>
      </c>
    </row>
    <row r="529" spans="1:8" hidden="1">
      <c r="A529" s="5" t="s">
        <v>93</v>
      </c>
      <c r="H529" s="5" t="s">
        <v>256</v>
      </c>
    </row>
    <row r="530" spans="1:8" hidden="1">
      <c r="A530" s="5" t="s">
        <v>94</v>
      </c>
      <c r="H530" s="5" t="s">
        <v>258</v>
      </c>
    </row>
    <row r="531" spans="1:8" hidden="1">
      <c r="A531" s="6"/>
      <c r="H531" s="5" t="s">
        <v>258</v>
      </c>
    </row>
    <row r="532" spans="1:8" hidden="1">
      <c r="A532" s="6"/>
      <c r="H532" s="5" t="s">
        <v>261</v>
      </c>
    </row>
    <row r="533" spans="1:8" hidden="1">
      <c r="A533" s="5" t="s">
        <v>3</v>
      </c>
      <c r="H533" s="5" t="s">
        <v>261</v>
      </c>
    </row>
    <row r="534" spans="1:8" hidden="1">
      <c r="A534" s="5" t="s">
        <v>4</v>
      </c>
      <c r="H534" s="5" t="s">
        <v>261</v>
      </c>
    </row>
    <row r="535" spans="1:8" hidden="1">
      <c r="A535" s="5" t="s">
        <v>5</v>
      </c>
      <c r="H535" s="5" t="s">
        <v>263</v>
      </c>
    </row>
    <row r="536" spans="1:8" hidden="1">
      <c r="A536" s="5" t="s">
        <v>6</v>
      </c>
      <c r="H536" s="5" t="s">
        <v>263</v>
      </c>
    </row>
    <row r="537" spans="1:8" hidden="1">
      <c r="A537" s="5" t="s">
        <v>7</v>
      </c>
      <c r="H537" s="5" t="s">
        <v>267</v>
      </c>
    </row>
    <row r="538" spans="1:8" hidden="1">
      <c r="A538" s="5" t="s">
        <v>6</v>
      </c>
      <c r="H538" s="5" t="s">
        <v>267</v>
      </c>
    </row>
    <row r="539" spans="1:8" hidden="1">
      <c r="A539" s="5" t="s">
        <v>98</v>
      </c>
      <c r="H539" s="5" t="s">
        <v>269</v>
      </c>
    </row>
    <row r="540" spans="1:8" hidden="1">
      <c r="A540" s="5" t="s">
        <v>99</v>
      </c>
      <c r="H540" s="5" t="s">
        <v>269</v>
      </c>
    </row>
    <row r="541" spans="1:8" hidden="1">
      <c r="A541" s="6"/>
      <c r="H541" s="5" t="s">
        <v>269</v>
      </c>
    </row>
    <row r="542" spans="1:8" hidden="1">
      <c r="A542" s="5" t="s">
        <v>12</v>
      </c>
      <c r="H542" s="5" t="s">
        <v>280</v>
      </c>
    </row>
    <row r="543" spans="1:8" hidden="1">
      <c r="A543" s="5" t="s">
        <v>15</v>
      </c>
      <c r="H543" s="5" t="s">
        <v>280</v>
      </c>
    </row>
    <row r="544" spans="1:8" hidden="1">
      <c r="A544" s="5" t="s">
        <v>6</v>
      </c>
      <c r="H544" s="5" t="s">
        <v>280</v>
      </c>
    </row>
    <row r="545" spans="1:8" hidden="1">
      <c r="A545" s="5" t="s">
        <v>100</v>
      </c>
      <c r="H545" s="5" t="s">
        <v>287</v>
      </c>
    </row>
    <row r="546" spans="1:8" hidden="1">
      <c r="A546" s="5" t="s">
        <v>17</v>
      </c>
      <c r="H546" s="5" t="s">
        <v>287</v>
      </c>
    </row>
    <row r="547" spans="1:8" hidden="1">
      <c r="A547" s="6"/>
      <c r="H547" s="5" t="s">
        <v>289</v>
      </c>
    </row>
    <row r="548" spans="1:8" hidden="1">
      <c r="A548" s="5" t="s">
        <v>19</v>
      </c>
      <c r="H548" s="5" t="s">
        <v>289</v>
      </c>
    </row>
    <row r="549" spans="1:8" hidden="1">
      <c r="A549" s="5" t="s">
        <v>20</v>
      </c>
      <c r="H549" s="5" t="s">
        <v>289</v>
      </c>
    </row>
    <row r="550" spans="1:8" hidden="1">
      <c r="A550" s="5" t="s">
        <v>21</v>
      </c>
      <c r="H550" s="5" t="s">
        <v>289</v>
      </c>
    </row>
    <row r="551" spans="1:8" hidden="1">
      <c r="A551" s="5" t="s">
        <v>22</v>
      </c>
      <c r="H551" s="5" t="s">
        <v>311</v>
      </c>
    </row>
    <row r="552" spans="1:8" hidden="1">
      <c r="A552" s="5" t="s">
        <v>23</v>
      </c>
      <c r="H552" s="5" t="s">
        <v>311</v>
      </c>
    </row>
    <row r="553" spans="1:8" hidden="1">
      <c r="A553" s="5" t="s">
        <v>24</v>
      </c>
      <c r="H553" s="5" t="s">
        <v>311</v>
      </c>
    </row>
    <row r="554" spans="1:8" hidden="1">
      <c r="A554" s="5" t="s">
        <v>25</v>
      </c>
      <c r="H554" s="5" t="s">
        <v>313</v>
      </c>
    </row>
    <row r="555" spans="1:8" hidden="1">
      <c r="A555" s="5" t="s">
        <v>26</v>
      </c>
      <c r="H555" s="5" t="s">
        <v>313</v>
      </c>
    </row>
    <row r="556" spans="1:8" hidden="1">
      <c r="A556" s="5" t="s">
        <v>27</v>
      </c>
      <c r="H556" s="5" t="s">
        <v>313</v>
      </c>
    </row>
    <row r="557" spans="1:8" hidden="1">
      <c r="A557" s="5" t="s">
        <v>6</v>
      </c>
      <c r="H557" s="5" t="s">
        <v>316</v>
      </c>
    </row>
    <row r="558" spans="1:8" hidden="1">
      <c r="A558" s="5" t="s">
        <v>28</v>
      </c>
      <c r="H558" s="5" t="s">
        <v>331</v>
      </c>
    </row>
    <row r="559" spans="1:8" hidden="1">
      <c r="A559" s="5" t="s">
        <v>29</v>
      </c>
      <c r="H559" s="5" t="s">
        <v>331</v>
      </c>
    </row>
    <row r="560" spans="1:8" hidden="1">
      <c r="A560" s="6"/>
      <c r="H560" s="5" t="s">
        <v>331</v>
      </c>
    </row>
    <row r="561" spans="1:8" hidden="1">
      <c r="A561" s="6"/>
      <c r="H561" s="5" t="s">
        <v>333</v>
      </c>
    </row>
    <row r="562" spans="1:8" hidden="1">
      <c r="A562" s="5" t="s">
        <v>6</v>
      </c>
      <c r="H562" s="5" t="s">
        <v>333</v>
      </c>
    </row>
    <row r="563" spans="1:8" hidden="1">
      <c r="A563" s="5" t="s">
        <v>30</v>
      </c>
      <c r="H563" s="5" t="s">
        <v>333</v>
      </c>
    </row>
    <row r="564" spans="1:8" hidden="1">
      <c r="A564" s="6"/>
      <c r="H564" s="5" t="s">
        <v>338</v>
      </c>
    </row>
    <row r="565" spans="1:8" hidden="1">
      <c r="A565" s="5" t="s">
        <v>31</v>
      </c>
      <c r="H565" s="5" t="s">
        <v>338</v>
      </c>
    </row>
    <row r="566" spans="1:8" hidden="1">
      <c r="A566" s="5" t="s">
        <v>32</v>
      </c>
      <c r="H566" s="5" t="s">
        <v>338</v>
      </c>
    </row>
    <row r="567" spans="1:8" hidden="1">
      <c r="A567" s="5" t="s">
        <v>33</v>
      </c>
      <c r="H567" s="5" t="s">
        <v>342</v>
      </c>
    </row>
    <row r="568" spans="1:8" hidden="1">
      <c r="A568" s="5" t="s">
        <v>34</v>
      </c>
      <c r="H568" s="5" t="s">
        <v>342</v>
      </c>
    </row>
    <row r="569" spans="1:8" hidden="1">
      <c r="A569" s="5" t="s">
        <v>35</v>
      </c>
      <c r="H569" s="5" t="s">
        <v>342</v>
      </c>
    </row>
    <row r="570" spans="1:8" hidden="1">
      <c r="A570" s="5" t="s">
        <v>36</v>
      </c>
      <c r="H570" s="5" t="s">
        <v>344</v>
      </c>
    </row>
    <row r="571" spans="1:8" hidden="1">
      <c r="A571" s="5" t="s">
        <v>37</v>
      </c>
      <c r="H571" s="5" t="s">
        <v>344</v>
      </c>
    </row>
    <row r="572" spans="1:8" hidden="1">
      <c r="A572" s="5" t="s">
        <v>38</v>
      </c>
      <c r="H572" s="5" t="s">
        <v>344</v>
      </c>
    </row>
    <row r="573" spans="1:8" hidden="1">
      <c r="A573" s="5" t="s">
        <v>39</v>
      </c>
      <c r="H573" s="5" t="s">
        <v>349</v>
      </c>
    </row>
    <row r="574" spans="1:8" hidden="1">
      <c r="A574" s="6"/>
      <c r="H574" s="5" t="s">
        <v>349</v>
      </c>
    </row>
    <row r="575" spans="1:8" hidden="1">
      <c r="A575" s="5" t="s">
        <v>98</v>
      </c>
      <c r="H575" s="5" t="s">
        <v>351</v>
      </c>
    </row>
    <row r="576" spans="1:8" hidden="1">
      <c r="A576" s="5" t="s">
        <v>99</v>
      </c>
      <c r="H576" s="5" t="s">
        <v>351</v>
      </c>
    </row>
    <row r="577" spans="1:8" hidden="1">
      <c r="A577" s="6"/>
      <c r="H577" s="5" t="s">
        <v>351</v>
      </c>
    </row>
    <row r="578" spans="1:8" hidden="1">
      <c r="A578" s="6"/>
      <c r="H578" s="5" t="s">
        <v>354</v>
      </c>
    </row>
    <row r="579" spans="1:8" hidden="1">
      <c r="A579" s="6"/>
      <c r="H579" s="5" t="s">
        <v>354</v>
      </c>
    </row>
    <row r="580" spans="1:8" hidden="1">
      <c r="A580" s="6"/>
      <c r="H580" s="5" t="s">
        <v>354</v>
      </c>
    </row>
    <row r="581" spans="1:8" hidden="1">
      <c r="A581" s="5" t="s">
        <v>6</v>
      </c>
      <c r="H581" s="5" t="s">
        <v>358</v>
      </c>
    </row>
    <row r="582" spans="1:8" hidden="1">
      <c r="A582" s="5" t="s">
        <v>40</v>
      </c>
      <c r="H582" s="5" t="s">
        <v>358</v>
      </c>
    </row>
    <row r="583" spans="1:8" hidden="1">
      <c r="A583" s="6"/>
      <c r="H583" s="5" t="s">
        <v>358</v>
      </c>
    </row>
    <row r="584" spans="1:8" hidden="1">
      <c r="A584" s="5" t="s">
        <v>41</v>
      </c>
      <c r="H584" s="5" t="s">
        <v>360</v>
      </c>
    </row>
    <row r="585" spans="1:8" hidden="1">
      <c r="A585" s="6"/>
      <c r="H585" s="5" t="s">
        <v>360</v>
      </c>
    </row>
    <row r="586" spans="1:8" hidden="1">
      <c r="A586" s="5" t="s">
        <v>42</v>
      </c>
      <c r="H586" s="5" t="s">
        <v>360</v>
      </c>
    </row>
    <row r="587" spans="1:8" hidden="1">
      <c r="A587" s="6"/>
      <c r="H587" s="5" t="s">
        <v>362</v>
      </c>
    </row>
    <row r="588" spans="1:8" hidden="1">
      <c r="A588" s="5" t="s">
        <v>43</v>
      </c>
      <c r="H588" s="5" t="s">
        <v>362</v>
      </c>
    </row>
    <row r="589" spans="1:8" hidden="1">
      <c r="A589" s="5" t="s">
        <v>44</v>
      </c>
      <c r="H589" s="5" t="s">
        <v>362</v>
      </c>
    </row>
    <row r="590" spans="1:8" hidden="1">
      <c r="A590" s="5" t="s">
        <v>45</v>
      </c>
      <c r="H590" s="5" t="s">
        <v>369</v>
      </c>
    </row>
    <row r="591" spans="1:8" hidden="1">
      <c r="A591" s="5" t="s">
        <v>46</v>
      </c>
      <c r="H591" s="5" t="s">
        <v>369</v>
      </c>
    </row>
    <row r="592" spans="1:8" hidden="1">
      <c r="A592" s="5" t="s">
        <v>47</v>
      </c>
      <c r="H592" s="5" t="s">
        <v>371</v>
      </c>
    </row>
    <row r="593" spans="1:8" hidden="1">
      <c r="A593" s="5" t="s">
        <v>37</v>
      </c>
      <c r="H593" s="5" t="s">
        <v>371</v>
      </c>
    </row>
    <row r="594" spans="1:8" hidden="1">
      <c r="A594" s="6"/>
      <c r="H594" s="5" t="s">
        <v>371</v>
      </c>
    </row>
    <row r="595" spans="1:8" hidden="1">
      <c r="A595" s="5" t="s">
        <v>98</v>
      </c>
      <c r="H595" s="5" t="s">
        <v>381</v>
      </c>
    </row>
    <row r="596" spans="1:8" hidden="1">
      <c r="A596" s="5" t="s">
        <v>99</v>
      </c>
      <c r="H596" s="5" t="s">
        <v>389</v>
      </c>
    </row>
    <row r="597" spans="1:8" hidden="1">
      <c r="A597" s="6"/>
      <c r="H597" s="5" t="s">
        <v>389</v>
      </c>
    </row>
    <row r="598" spans="1:8" hidden="1">
      <c r="A598" s="6"/>
      <c r="H598" s="5" t="s">
        <v>393</v>
      </c>
    </row>
    <row r="599" spans="1:8" hidden="1">
      <c r="A599" s="5" t="s">
        <v>3</v>
      </c>
      <c r="H599" s="5" t="s">
        <v>393</v>
      </c>
    </row>
    <row r="600" spans="1:8" hidden="1">
      <c r="A600" s="5" t="s">
        <v>4</v>
      </c>
      <c r="H600" s="5" t="s">
        <v>393</v>
      </c>
    </row>
    <row r="601" spans="1:8" hidden="1">
      <c r="A601" s="5" t="s">
        <v>5</v>
      </c>
      <c r="H601" s="5" t="s">
        <v>378</v>
      </c>
    </row>
    <row r="602" spans="1:8" hidden="1">
      <c r="A602" s="5" t="s">
        <v>6</v>
      </c>
      <c r="H602" s="5" t="s">
        <v>17</v>
      </c>
    </row>
    <row r="603" spans="1:8" hidden="1">
      <c r="A603" s="5" t="s">
        <v>7</v>
      </c>
      <c r="H603" s="5" t="s">
        <v>17</v>
      </c>
    </row>
    <row r="604" spans="1:8" hidden="1">
      <c r="A604" s="5" t="s">
        <v>6</v>
      </c>
      <c r="H604" s="5" t="s">
        <v>17</v>
      </c>
    </row>
    <row r="605" spans="1:8" hidden="1">
      <c r="A605" s="5" t="s">
        <v>101</v>
      </c>
      <c r="H605" s="5" t="s">
        <v>17</v>
      </c>
    </row>
    <row r="606" spans="1:8" hidden="1">
      <c r="A606" s="5" t="s">
        <v>102</v>
      </c>
      <c r="H606" s="5" t="s">
        <v>17</v>
      </c>
    </row>
    <row r="607" spans="1:8" hidden="1">
      <c r="A607" s="6"/>
      <c r="H607" s="5" t="s">
        <v>17</v>
      </c>
    </row>
    <row r="608" spans="1:8" hidden="1">
      <c r="A608" s="5" t="s">
        <v>82</v>
      </c>
      <c r="H608" s="5" t="s">
        <v>17</v>
      </c>
    </row>
    <row r="609" spans="1:8" hidden="1">
      <c r="A609" s="5" t="s">
        <v>103</v>
      </c>
      <c r="H609" s="5" t="s">
        <v>17</v>
      </c>
    </row>
    <row r="610" spans="1:8" hidden="1">
      <c r="A610" s="5" t="s">
        <v>6</v>
      </c>
      <c r="H610" s="5" t="s">
        <v>17</v>
      </c>
    </row>
    <row r="611" spans="1:8" hidden="1">
      <c r="A611" s="5" t="s">
        <v>83</v>
      </c>
      <c r="H611" s="5" t="s">
        <v>17</v>
      </c>
    </row>
    <row r="612" spans="1:8" hidden="1">
      <c r="A612" s="5" t="s">
        <v>17</v>
      </c>
      <c r="H612" s="5" t="s">
        <v>17</v>
      </c>
    </row>
    <row r="613" spans="1:8" hidden="1">
      <c r="A613" s="5" t="s">
        <v>84</v>
      </c>
      <c r="H613" s="5" t="s">
        <v>17</v>
      </c>
    </row>
    <row r="614" spans="1:8" hidden="1">
      <c r="A614" s="6"/>
      <c r="H614" s="5" t="s">
        <v>17</v>
      </c>
    </row>
    <row r="615" spans="1:8" hidden="1">
      <c r="A615" s="5" t="s">
        <v>19</v>
      </c>
      <c r="H615" s="5" t="s">
        <v>17</v>
      </c>
    </row>
    <row r="616" spans="1:8" hidden="1">
      <c r="A616" s="5" t="s">
        <v>20</v>
      </c>
      <c r="H616" s="5" t="s">
        <v>17</v>
      </c>
    </row>
    <row r="617" spans="1:8" hidden="1">
      <c r="A617" s="5" t="s">
        <v>21</v>
      </c>
      <c r="H617" s="5" t="s">
        <v>17</v>
      </c>
    </row>
    <row r="618" spans="1:8" hidden="1">
      <c r="A618" s="5" t="s">
        <v>22</v>
      </c>
      <c r="H618" s="5" t="s">
        <v>17</v>
      </c>
    </row>
    <row r="619" spans="1:8" hidden="1">
      <c r="A619" s="5" t="s">
        <v>23</v>
      </c>
      <c r="H619" s="5" t="s">
        <v>17</v>
      </c>
    </row>
    <row r="620" spans="1:8" hidden="1">
      <c r="A620" s="5" t="s">
        <v>24</v>
      </c>
      <c r="H620" s="5" t="s">
        <v>17</v>
      </c>
    </row>
    <row r="621" spans="1:8" hidden="1">
      <c r="A621" s="5" t="s">
        <v>25</v>
      </c>
      <c r="H621" s="5" t="s">
        <v>17</v>
      </c>
    </row>
    <row r="622" spans="1:8" hidden="1">
      <c r="A622" s="5" t="s">
        <v>26</v>
      </c>
      <c r="H622" s="5" t="s">
        <v>17</v>
      </c>
    </row>
    <row r="623" spans="1:8" hidden="1">
      <c r="A623" s="5" t="s">
        <v>27</v>
      </c>
      <c r="H623" s="5" t="s">
        <v>17</v>
      </c>
    </row>
    <row r="624" spans="1:8" hidden="1">
      <c r="A624" s="5" t="s">
        <v>6</v>
      </c>
      <c r="H624" s="5" t="s">
        <v>17</v>
      </c>
    </row>
    <row r="625" spans="1:8" hidden="1">
      <c r="A625" s="5" t="s">
        <v>28</v>
      </c>
      <c r="H625" s="5" t="s">
        <v>17</v>
      </c>
    </row>
    <row r="626" spans="1:8" hidden="1">
      <c r="A626" s="5" t="s">
        <v>29</v>
      </c>
      <c r="H626" s="5" t="s">
        <v>17</v>
      </c>
    </row>
    <row r="627" spans="1:8" hidden="1">
      <c r="A627" s="6"/>
      <c r="H627" s="5" t="s">
        <v>17</v>
      </c>
    </row>
    <row r="628" spans="1:8" hidden="1">
      <c r="A628" s="6"/>
      <c r="H628" s="5" t="s">
        <v>154</v>
      </c>
    </row>
    <row r="629" spans="1:8" hidden="1">
      <c r="A629" s="5" t="s">
        <v>6</v>
      </c>
      <c r="H629" s="5" t="s">
        <v>339</v>
      </c>
    </row>
    <row r="630" spans="1:8" hidden="1">
      <c r="A630" s="5" t="s">
        <v>30</v>
      </c>
      <c r="H630" s="5" t="s">
        <v>78</v>
      </c>
    </row>
    <row r="631" spans="1:8" hidden="1">
      <c r="A631" s="6"/>
      <c r="H631" s="5" t="s">
        <v>52</v>
      </c>
    </row>
    <row r="632" spans="1:8" hidden="1">
      <c r="A632" s="5" t="s">
        <v>31</v>
      </c>
      <c r="H632" s="5" t="s">
        <v>52</v>
      </c>
    </row>
    <row r="633" spans="1:8" hidden="1">
      <c r="A633" s="5" t="s">
        <v>32</v>
      </c>
      <c r="H633" s="5" t="s">
        <v>52</v>
      </c>
    </row>
    <row r="634" spans="1:8" hidden="1">
      <c r="A634" s="5" t="s">
        <v>33</v>
      </c>
      <c r="H634" s="5" t="s">
        <v>52</v>
      </c>
    </row>
    <row r="635" spans="1:8" hidden="1">
      <c r="A635" s="5" t="s">
        <v>34</v>
      </c>
      <c r="H635" s="5" t="s">
        <v>52</v>
      </c>
    </row>
    <row r="636" spans="1:8" hidden="1">
      <c r="A636" s="5" t="s">
        <v>35</v>
      </c>
      <c r="H636" s="5" t="s">
        <v>147</v>
      </c>
    </row>
    <row r="637" spans="1:8" hidden="1">
      <c r="A637" s="5" t="s">
        <v>36</v>
      </c>
      <c r="H637" s="5" t="s">
        <v>277</v>
      </c>
    </row>
    <row r="638" spans="1:8" hidden="1">
      <c r="A638" s="5" t="s">
        <v>37</v>
      </c>
      <c r="H638" s="5" t="s">
        <v>213</v>
      </c>
    </row>
    <row r="639" spans="1:8" hidden="1">
      <c r="A639" s="5" t="s">
        <v>38</v>
      </c>
      <c r="H639" s="5" t="s">
        <v>63</v>
      </c>
    </row>
    <row r="640" spans="1:8" hidden="1">
      <c r="A640" s="5" t="s">
        <v>39</v>
      </c>
      <c r="H640" s="5" t="s">
        <v>63</v>
      </c>
    </row>
    <row r="641" spans="1:8" hidden="1">
      <c r="A641" s="6"/>
      <c r="H641" s="5" t="s">
        <v>63</v>
      </c>
    </row>
    <row r="642" spans="1:8" hidden="1">
      <c r="A642" s="5" t="s">
        <v>101</v>
      </c>
      <c r="H642" s="5" t="s">
        <v>63</v>
      </c>
    </row>
    <row r="643" spans="1:8" hidden="1">
      <c r="A643" s="5" t="s">
        <v>102</v>
      </c>
      <c r="H643" s="5" t="s">
        <v>63</v>
      </c>
    </row>
    <row r="644" spans="1:8" hidden="1">
      <c r="A644" s="6"/>
      <c r="H644" s="5" t="s">
        <v>63</v>
      </c>
    </row>
    <row r="645" spans="1:8" hidden="1">
      <c r="A645" s="6"/>
      <c r="H645" s="5" t="s">
        <v>63</v>
      </c>
    </row>
    <row r="646" spans="1:8" hidden="1">
      <c r="A646" s="5" t="s">
        <v>3</v>
      </c>
      <c r="H646" s="5" t="s">
        <v>63</v>
      </c>
    </row>
    <row r="647" spans="1:8" hidden="1">
      <c r="A647" s="5" t="s">
        <v>4</v>
      </c>
      <c r="H647" s="5" t="s">
        <v>63</v>
      </c>
    </row>
    <row r="648" spans="1:8" hidden="1">
      <c r="A648" s="5" t="s">
        <v>5</v>
      </c>
      <c r="H648" s="5" t="s">
        <v>63</v>
      </c>
    </row>
    <row r="649" spans="1:8" hidden="1">
      <c r="A649" s="5" t="s">
        <v>6</v>
      </c>
      <c r="H649" s="5" t="s">
        <v>63</v>
      </c>
    </row>
    <row r="650" spans="1:8" hidden="1">
      <c r="A650" s="5" t="s">
        <v>7</v>
      </c>
      <c r="H650" s="5" t="s">
        <v>63</v>
      </c>
    </row>
    <row r="651" spans="1:8" hidden="1">
      <c r="A651" s="5" t="s">
        <v>6</v>
      </c>
      <c r="H651" s="5" t="s">
        <v>63</v>
      </c>
    </row>
    <row r="652" spans="1:8" hidden="1">
      <c r="A652" s="5" t="s">
        <v>104</v>
      </c>
      <c r="H652" s="5" t="s">
        <v>209</v>
      </c>
    </row>
    <row r="653" spans="1:8" hidden="1">
      <c r="A653" s="5" t="s">
        <v>105</v>
      </c>
      <c r="H653" s="5" t="s">
        <v>366</v>
      </c>
    </row>
    <row r="654" spans="1:8" hidden="1">
      <c r="A654" s="6"/>
      <c r="H654" s="5" t="s">
        <v>167</v>
      </c>
    </row>
    <row r="655" spans="1:8" hidden="1">
      <c r="A655" s="5" t="s">
        <v>106</v>
      </c>
      <c r="H655" s="5" t="s">
        <v>297</v>
      </c>
    </row>
    <row r="656" spans="1:8" hidden="1">
      <c r="A656" s="5" t="s">
        <v>15</v>
      </c>
      <c r="H656" s="5" t="s">
        <v>228</v>
      </c>
    </row>
    <row r="657" spans="1:8" hidden="1">
      <c r="A657" s="5" t="s">
        <v>6</v>
      </c>
      <c r="H657" s="5" t="s">
        <v>148</v>
      </c>
    </row>
    <row r="658" spans="1:8" hidden="1">
      <c r="A658" s="5" t="s">
        <v>91</v>
      </c>
      <c r="H658" s="5" t="s">
        <v>148</v>
      </c>
    </row>
    <row r="659" spans="1:8" hidden="1">
      <c r="A659" s="5" t="s">
        <v>63</v>
      </c>
      <c r="H659" s="5" t="s">
        <v>79</v>
      </c>
    </row>
    <row r="660" spans="1:8" hidden="1">
      <c r="A660" s="5" t="s">
        <v>92</v>
      </c>
      <c r="H660" s="5" t="s">
        <v>168</v>
      </c>
    </row>
    <row r="661" spans="1:8" hidden="1">
      <c r="A661" s="6"/>
      <c r="H661" s="5" t="s">
        <v>111</v>
      </c>
    </row>
    <row r="662" spans="1:8" hidden="1">
      <c r="A662" s="5" t="s">
        <v>19</v>
      </c>
      <c r="H662" s="5" t="s">
        <v>111</v>
      </c>
    </row>
    <row r="663" spans="1:8" hidden="1">
      <c r="A663" s="5" t="s">
        <v>20</v>
      </c>
      <c r="H663" s="5" t="s">
        <v>111</v>
      </c>
    </row>
    <row r="664" spans="1:8" hidden="1">
      <c r="A664" s="5" t="s">
        <v>21</v>
      </c>
      <c r="H664" s="5" t="s">
        <v>111</v>
      </c>
    </row>
    <row r="665" spans="1:8" hidden="1">
      <c r="A665" s="5" t="s">
        <v>22</v>
      </c>
      <c r="H665" s="5" t="s">
        <v>111</v>
      </c>
    </row>
    <row r="666" spans="1:8" hidden="1">
      <c r="A666" s="5" t="s">
        <v>23</v>
      </c>
      <c r="H666" s="5" t="s">
        <v>111</v>
      </c>
    </row>
    <row r="667" spans="1:8" hidden="1">
      <c r="A667" s="5" t="s">
        <v>24</v>
      </c>
      <c r="H667" s="5" t="s">
        <v>111</v>
      </c>
    </row>
    <row r="668" spans="1:8" hidden="1">
      <c r="A668" s="5" t="s">
        <v>25</v>
      </c>
      <c r="H668" s="5" t="s">
        <v>176</v>
      </c>
    </row>
    <row r="669" spans="1:8" hidden="1">
      <c r="A669" s="5" t="s">
        <v>26</v>
      </c>
      <c r="H669" s="5" t="s">
        <v>340</v>
      </c>
    </row>
    <row r="670" spans="1:8" hidden="1">
      <c r="A670" s="5" t="s">
        <v>27</v>
      </c>
      <c r="H670" s="5" t="s">
        <v>210</v>
      </c>
    </row>
    <row r="671" spans="1:8" hidden="1">
      <c r="A671" s="5" t="s">
        <v>6</v>
      </c>
      <c r="H671" s="5" t="s">
        <v>252</v>
      </c>
    </row>
    <row r="672" spans="1:8" hidden="1">
      <c r="A672" s="5" t="s">
        <v>28</v>
      </c>
      <c r="H672" s="5" t="s">
        <v>278</v>
      </c>
    </row>
    <row r="673" spans="1:8" hidden="1">
      <c r="A673" s="5" t="s">
        <v>29</v>
      </c>
      <c r="H673" s="5" t="s">
        <v>53</v>
      </c>
    </row>
    <row r="674" spans="1:8" hidden="1">
      <c r="A674" s="6"/>
      <c r="H674" s="5" t="s">
        <v>53</v>
      </c>
    </row>
    <row r="675" spans="1:8" hidden="1">
      <c r="A675" s="6"/>
      <c r="H675" s="5" t="s">
        <v>53</v>
      </c>
    </row>
    <row r="676" spans="1:8" hidden="1">
      <c r="A676" s="5" t="s">
        <v>6</v>
      </c>
      <c r="H676" s="5" t="s">
        <v>92</v>
      </c>
    </row>
    <row r="677" spans="1:8" hidden="1">
      <c r="A677" s="5" t="s">
        <v>30</v>
      </c>
      <c r="H677" s="5" t="s">
        <v>92</v>
      </c>
    </row>
    <row r="678" spans="1:8" hidden="1">
      <c r="A678" s="6"/>
      <c r="H678" s="5" t="s">
        <v>92</v>
      </c>
    </row>
    <row r="679" spans="1:8" hidden="1">
      <c r="A679" s="5" t="s">
        <v>31</v>
      </c>
      <c r="H679" s="5" t="s">
        <v>92</v>
      </c>
    </row>
    <row r="680" spans="1:8" hidden="1">
      <c r="A680" s="5" t="s">
        <v>32</v>
      </c>
      <c r="H680" s="5" t="s">
        <v>92</v>
      </c>
    </row>
    <row r="681" spans="1:8" hidden="1">
      <c r="A681" s="5" t="s">
        <v>33</v>
      </c>
      <c r="H681" s="5" t="s">
        <v>92</v>
      </c>
    </row>
    <row r="682" spans="1:8" hidden="1">
      <c r="A682" s="5" t="s">
        <v>34</v>
      </c>
      <c r="H682" s="5" t="s">
        <v>92</v>
      </c>
    </row>
    <row r="683" spans="1:8" hidden="1">
      <c r="A683" s="5" t="s">
        <v>35</v>
      </c>
      <c r="H683" s="5" t="s">
        <v>92</v>
      </c>
    </row>
    <row r="684" spans="1:8" hidden="1">
      <c r="A684" s="5" t="s">
        <v>36</v>
      </c>
      <c r="H684" s="5" t="s">
        <v>92</v>
      </c>
    </row>
    <row r="685" spans="1:8" hidden="1">
      <c r="A685" s="5" t="s">
        <v>37</v>
      </c>
      <c r="H685" s="5" t="s">
        <v>84</v>
      </c>
    </row>
    <row r="686" spans="1:8" hidden="1">
      <c r="A686" s="5" t="s">
        <v>38</v>
      </c>
      <c r="H686" s="5" t="s">
        <v>84</v>
      </c>
    </row>
    <row r="687" spans="1:8" hidden="1">
      <c r="A687" s="5" t="s">
        <v>39</v>
      </c>
      <c r="H687" s="5" t="s">
        <v>84</v>
      </c>
    </row>
    <row r="688" spans="1:8" hidden="1">
      <c r="A688" s="6"/>
      <c r="H688" s="5" t="s">
        <v>84</v>
      </c>
    </row>
    <row r="689" spans="1:8" hidden="1">
      <c r="A689" s="5" t="s">
        <v>104</v>
      </c>
      <c r="H689" s="5" t="s">
        <v>265</v>
      </c>
    </row>
    <row r="690" spans="1:8" hidden="1">
      <c r="A690" s="5" t="s">
        <v>105</v>
      </c>
      <c r="H690" s="5" t="s">
        <v>265</v>
      </c>
    </row>
    <row r="691" spans="1:8" hidden="1">
      <c r="A691" s="6"/>
      <c r="H691" s="5" t="s">
        <v>127</v>
      </c>
    </row>
    <row r="692" spans="1:8" hidden="1">
      <c r="A692" s="6"/>
      <c r="H692" s="5" t="s">
        <v>64</v>
      </c>
    </row>
    <row r="693" spans="1:8" hidden="1">
      <c r="A693" s="6"/>
      <c r="H693" s="5" t="s">
        <v>285</v>
      </c>
    </row>
    <row r="694" spans="1:8" hidden="1">
      <c r="A694" s="6"/>
      <c r="H694" s="5" t="s">
        <v>298</v>
      </c>
    </row>
    <row r="695" spans="1:8" hidden="1">
      <c r="A695" s="5" t="s">
        <v>6</v>
      </c>
      <c r="H695" s="5" t="s">
        <v>74</v>
      </c>
    </row>
    <row r="696" spans="1:8" hidden="1">
      <c r="A696" s="5" t="s">
        <v>40</v>
      </c>
      <c r="H696" s="5" t="s">
        <v>183</v>
      </c>
    </row>
    <row r="697" spans="1:8" hidden="1">
      <c r="A697" s="6"/>
      <c r="H697" s="5" t="s">
        <v>347</v>
      </c>
    </row>
    <row r="698" spans="1:8" hidden="1">
      <c r="A698" s="5" t="s">
        <v>41</v>
      </c>
      <c r="H698" s="5" t="s">
        <v>244</v>
      </c>
    </row>
    <row r="699" spans="1:8" hidden="1">
      <c r="A699" s="6"/>
      <c r="H699" s="5" t="s">
        <v>244</v>
      </c>
    </row>
    <row r="700" spans="1:8" hidden="1">
      <c r="A700" s="5" t="s">
        <v>42</v>
      </c>
      <c r="H700" s="5" t="s">
        <v>244</v>
      </c>
    </row>
    <row r="701" spans="1:8" hidden="1">
      <c r="A701" s="6"/>
      <c r="H701" s="5" t="s">
        <v>70</v>
      </c>
    </row>
    <row r="702" spans="1:8" hidden="1">
      <c r="A702" s="5" t="s">
        <v>43</v>
      </c>
      <c r="H702" s="5" t="s">
        <v>70</v>
      </c>
    </row>
    <row r="703" spans="1:8" hidden="1">
      <c r="A703" s="5" t="s">
        <v>44</v>
      </c>
      <c r="H703" s="5" t="s">
        <v>70</v>
      </c>
    </row>
    <row r="704" spans="1:8" hidden="1">
      <c r="A704" s="5" t="s">
        <v>45</v>
      </c>
      <c r="H704" s="5" t="s">
        <v>70</v>
      </c>
    </row>
    <row r="705" spans="1:8" hidden="1">
      <c r="A705" s="5" t="s">
        <v>46</v>
      </c>
      <c r="H705" s="5" t="s">
        <v>70</v>
      </c>
    </row>
    <row r="706" spans="1:8" hidden="1">
      <c r="A706" s="5" t="s">
        <v>47</v>
      </c>
      <c r="H706" s="5" t="s">
        <v>216</v>
      </c>
    </row>
    <row r="707" spans="1:8" hidden="1">
      <c r="A707" s="5" t="s">
        <v>37</v>
      </c>
      <c r="H707" s="5" t="s">
        <v>216</v>
      </c>
    </row>
    <row r="708" spans="1:8" hidden="1">
      <c r="A708" s="6"/>
      <c r="H708" s="5" t="s">
        <v>172</v>
      </c>
    </row>
    <row r="709" spans="1:8" hidden="1">
      <c r="A709" s="5" t="s">
        <v>104</v>
      </c>
      <c r="H709" s="5" t="s">
        <v>172</v>
      </c>
    </row>
    <row r="710" spans="1:8" hidden="1">
      <c r="A710" s="5" t="s">
        <v>105</v>
      </c>
      <c r="H710" s="5" t="s">
        <v>172</v>
      </c>
    </row>
    <row r="711" spans="1:8" hidden="1">
      <c r="A711" s="6"/>
      <c r="H711" s="5" t="s">
        <v>172</v>
      </c>
    </row>
    <row r="712" spans="1:8" hidden="1">
      <c r="A712" s="6"/>
      <c r="H712" s="5" t="s">
        <v>232</v>
      </c>
    </row>
    <row r="713" spans="1:8" hidden="1">
      <c r="A713" s="5" t="s">
        <v>3</v>
      </c>
      <c r="H713" s="5" t="s">
        <v>232</v>
      </c>
    </row>
    <row r="714" spans="1:8" hidden="1">
      <c r="A714" s="5" t="s">
        <v>4</v>
      </c>
      <c r="H714" s="5" t="s">
        <v>232</v>
      </c>
    </row>
    <row r="715" spans="1:8" hidden="1">
      <c r="A715" s="5" t="s">
        <v>5</v>
      </c>
      <c r="H715" s="5" t="s">
        <v>282</v>
      </c>
    </row>
    <row r="716" spans="1:8" hidden="1">
      <c r="A716" s="5" t="s">
        <v>6</v>
      </c>
      <c r="H716" s="5" t="s">
        <v>282</v>
      </c>
    </row>
    <row r="717" spans="1:8" hidden="1">
      <c r="A717" s="5" t="s">
        <v>7</v>
      </c>
      <c r="H717" s="5" t="s">
        <v>180</v>
      </c>
    </row>
    <row r="718" spans="1:8" hidden="1">
      <c r="A718" s="5" t="s">
        <v>6</v>
      </c>
      <c r="H718" s="5" t="s">
        <v>88</v>
      </c>
    </row>
    <row r="719" spans="1:8" hidden="1">
      <c r="A719" s="5" t="s">
        <v>107</v>
      </c>
      <c r="H719" s="5" t="s">
        <v>88</v>
      </c>
    </row>
    <row r="720" spans="1:8" hidden="1">
      <c r="A720" s="5" t="s">
        <v>108</v>
      </c>
      <c r="H720" s="5" t="s">
        <v>88</v>
      </c>
    </row>
    <row r="721" spans="1:8" hidden="1">
      <c r="A721" s="6"/>
      <c r="H721" s="5" t="s">
        <v>88</v>
      </c>
    </row>
    <row r="722" spans="1:8" hidden="1">
      <c r="A722" s="5" t="s">
        <v>109</v>
      </c>
      <c r="H722" s="5" t="s">
        <v>88</v>
      </c>
    </row>
    <row r="723" spans="1:8" hidden="1">
      <c r="A723" s="5" t="s">
        <v>103</v>
      </c>
      <c r="H723" s="5" t="s">
        <v>88</v>
      </c>
    </row>
    <row r="724" spans="1:8" hidden="1">
      <c r="A724" s="5" t="s">
        <v>6</v>
      </c>
      <c r="H724" s="5" t="s">
        <v>88</v>
      </c>
    </row>
    <row r="725" spans="1:8" hidden="1">
      <c r="A725" s="5" t="s">
        <v>110</v>
      </c>
      <c r="H725" s="5" t="s">
        <v>59</v>
      </c>
    </row>
    <row r="726" spans="1:8" hidden="1">
      <c r="A726" s="5" t="s">
        <v>17</v>
      </c>
      <c r="H726" s="5" t="s">
        <v>59</v>
      </c>
    </row>
    <row r="727" spans="1:8" hidden="1">
      <c r="A727" s="5" t="s">
        <v>111</v>
      </c>
      <c r="H727" s="5" t="s">
        <v>204</v>
      </c>
    </row>
    <row r="728" spans="1:8" hidden="1">
      <c r="A728" s="6"/>
      <c r="H728" s="5" t="s">
        <v>293</v>
      </c>
    </row>
    <row r="729" spans="1:8" hidden="1">
      <c r="A729" s="5" t="s">
        <v>19</v>
      </c>
      <c r="H729" s="5" t="s">
        <v>158</v>
      </c>
    </row>
    <row r="730" spans="1:8" hidden="1">
      <c r="A730" s="5" t="s">
        <v>20</v>
      </c>
      <c r="H730" s="5" t="s">
        <v>162</v>
      </c>
    </row>
    <row r="731" spans="1:8" hidden="1">
      <c r="A731" s="5" t="s">
        <v>21</v>
      </c>
      <c r="H731" s="5" t="s">
        <v>162</v>
      </c>
    </row>
    <row r="732" spans="1:8" hidden="1">
      <c r="A732" s="5" t="s">
        <v>22</v>
      </c>
      <c r="H732" s="5" t="s">
        <v>396</v>
      </c>
    </row>
    <row r="733" spans="1:8" hidden="1">
      <c r="A733" s="5" t="s">
        <v>23</v>
      </c>
      <c r="H733" s="5" t="s">
        <v>271</v>
      </c>
    </row>
    <row r="734" spans="1:8" hidden="1">
      <c r="A734" s="5" t="s">
        <v>24</v>
      </c>
      <c r="H734" s="5" t="s">
        <v>395</v>
      </c>
    </row>
    <row r="735" spans="1:8" hidden="1">
      <c r="A735" s="5" t="s">
        <v>25</v>
      </c>
      <c r="H735" s="5" t="s">
        <v>13</v>
      </c>
    </row>
    <row r="736" spans="1:8" hidden="1">
      <c r="A736" s="5" t="s">
        <v>26</v>
      </c>
      <c r="H736" s="5" t="s">
        <v>13</v>
      </c>
    </row>
    <row r="737" spans="1:8" hidden="1">
      <c r="A737" s="5" t="s">
        <v>27</v>
      </c>
      <c r="H737" s="5" t="s">
        <v>13</v>
      </c>
    </row>
    <row r="738" spans="1:8" hidden="1">
      <c r="A738" s="5" t="s">
        <v>6</v>
      </c>
      <c r="H738" s="5" t="s">
        <v>13</v>
      </c>
    </row>
    <row r="739" spans="1:8" hidden="1">
      <c r="A739" s="5" t="s">
        <v>28</v>
      </c>
      <c r="H739" s="5" t="s">
        <v>13</v>
      </c>
    </row>
    <row r="740" spans="1:8" hidden="1">
      <c r="A740" s="5" t="s">
        <v>29</v>
      </c>
      <c r="H740" s="5" t="s">
        <v>13</v>
      </c>
    </row>
    <row r="741" spans="1:8" hidden="1">
      <c r="A741" s="6"/>
      <c r="H741" s="5" t="s">
        <v>13</v>
      </c>
    </row>
    <row r="742" spans="1:8" hidden="1">
      <c r="A742" s="6"/>
      <c r="H742" s="5" t="s">
        <v>13</v>
      </c>
    </row>
    <row r="743" spans="1:8" hidden="1">
      <c r="A743" s="5" t="s">
        <v>6</v>
      </c>
      <c r="H743" s="5" t="s">
        <v>13</v>
      </c>
    </row>
    <row r="744" spans="1:8" hidden="1">
      <c r="A744" s="5" t="s">
        <v>30</v>
      </c>
      <c r="H744" s="5" t="s">
        <v>275</v>
      </c>
    </row>
    <row r="745" spans="1:8" hidden="1">
      <c r="A745" s="6"/>
      <c r="H745" s="5" t="s">
        <v>27</v>
      </c>
    </row>
    <row r="746" spans="1:8" hidden="1">
      <c r="A746" s="5" t="s">
        <v>31</v>
      </c>
      <c r="H746" s="5" t="s">
        <v>27</v>
      </c>
    </row>
    <row r="747" spans="1:8" hidden="1">
      <c r="A747" s="5" t="s">
        <v>32</v>
      </c>
      <c r="H747" s="5" t="s">
        <v>27</v>
      </c>
    </row>
    <row r="748" spans="1:8" hidden="1">
      <c r="A748" s="5" t="s">
        <v>33</v>
      </c>
      <c r="H748" s="5" t="s">
        <v>27</v>
      </c>
    </row>
    <row r="749" spans="1:8" hidden="1">
      <c r="A749" s="5" t="s">
        <v>34</v>
      </c>
      <c r="H749" s="5" t="s">
        <v>27</v>
      </c>
    </row>
    <row r="750" spans="1:8" hidden="1">
      <c r="A750" s="5" t="s">
        <v>35</v>
      </c>
      <c r="H750" s="5" t="s">
        <v>27</v>
      </c>
    </row>
    <row r="751" spans="1:8" hidden="1">
      <c r="A751" s="5" t="s">
        <v>36</v>
      </c>
      <c r="H751" s="5" t="s">
        <v>27</v>
      </c>
    </row>
    <row r="752" spans="1:8" hidden="1">
      <c r="A752" s="5" t="s">
        <v>37</v>
      </c>
      <c r="H752" s="5" t="s">
        <v>27</v>
      </c>
    </row>
    <row r="753" spans="1:8" hidden="1">
      <c r="A753" s="5" t="s">
        <v>38</v>
      </c>
      <c r="H753" s="5" t="s">
        <v>27</v>
      </c>
    </row>
    <row r="754" spans="1:8" hidden="1">
      <c r="A754" s="5" t="s">
        <v>39</v>
      </c>
      <c r="H754" s="5" t="s">
        <v>27</v>
      </c>
    </row>
    <row r="755" spans="1:8" hidden="1">
      <c r="A755" s="6"/>
      <c r="H755" s="5" t="s">
        <v>27</v>
      </c>
    </row>
    <row r="756" spans="1:8" hidden="1">
      <c r="A756" s="5" t="s">
        <v>107</v>
      </c>
      <c r="H756" s="5" t="s">
        <v>27</v>
      </c>
    </row>
    <row r="757" spans="1:8" hidden="1">
      <c r="A757" s="5" t="s">
        <v>108</v>
      </c>
      <c r="H757" s="5" t="s">
        <v>27</v>
      </c>
    </row>
    <row r="758" spans="1:8" hidden="1">
      <c r="A758" s="6"/>
      <c r="H758" s="5" t="s">
        <v>27</v>
      </c>
    </row>
    <row r="759" spans="1:8" hidden="1">
      <c r="A759" s="6"/>
      <c r="H759" s="5" t="s">
        <v>27</v>
      </c>
    </row>
    <row r="760" spans="1:8" hidden="1">
      <c r="A760" s="5" t="s">
        <v>3</v>
      </c>
      <c r="H760" s="5" t="s">
        <v>27</v>
      </c>
    </row>
    <row r="761" spans="1:8" hidden="1">
      <c r="A761" s="5" t="s">
        <v>4</v>
      </c>
      <c r="H761" s="5" t="s">
        <v>27</v>
      </c>
    </row>
    <row r="762" spans="1:8" hidden="1">
      <c r="A762" s="5" t="s">
        <v>5</v>
      </c>
      <c r="H762" s="5" t="s">
        <v>27</v>
      </c>
    </row>
    <row r="763" spans="1:8" hidden="1">
      <c r="A763" s="5" t="s">
        <v>6</v>
      </c>
      <c r="H763" s="5" t="s">
        <v>27</v>
      </c>
    </row>
    <row r="764" spans="1:8" hidden="1">
      <c r="A764" s="5" t="s">
        <v>7</v>
      </c>
      <c r="H764" s="5" t="s">
        <v>27</v>
      </c>
    </row>
    <row r="765" spans="1:8" hidden="1">
      <c r="A765" s="5" t="s">
        <v>6</v>
      </c>
      <c r="H765" s="5" t="s">
        <v>27</v>
      </c>
    </row>
    <row r="766" spans="1:8" hidden="1">
      <c r="A766" s="5" t="s">
        <v>112</v>
      </c>
      <c r="H766" s="5" t="s">
        <v>27</v>
      </c>
    </row>
    <row r="767" spans="1:8" hidden="1">
      <c r="A767" s="5" t="s">
        <v>113</v>
      </c>
      <c r="H767" s="5" t="s">
        <v>27</v>
      </c>
    </row>
    <row r="768" spans="1:8" hidden="1">
      <c r="A768" s="6"/>
      <c r="H768" s="5" t="s">
        <v>27</v>
      </c>
    </row>
    <row r="769" spans="1:8" hidden="1">
      <c r="A769" s="5" t="s">
        <v>12</v>
      </c>
      <c r="H769" s="5" t="s">
        <v>27</v>
      </c>
    </row>
    <row r="770" spans="1:8" hidden="1">
      <c r="A770" s="5" t="s">
        <v>13</v>
      </c>
      <c r="H770" s="5" t="s">
        <v>27</v>
      </c>
    </row>
    <row r="771" spans="1:8" hidden="1">
      <c r="A771" s="5" t="s">
        <v>14</v>
      </c>
      <c r="H771" s="5" t="s">
        <v>27</v>
      </c>
    </row>
    <row r="772" spans="1:8" hidden="1">
      <c r="A772" s="5" t="s">
        <v>15</v>
      </c>
      <c r="H772" s="5" t="s">
        <v>27</v>
      </c>
    </row>
    <row r="773" spans="1:8" hidden="1">
      <c r="A773" s="5" t="s">
        <v>6</v>
      </c>
      <c r="H773" s="5" t="s">
        <v>27</v>
      </c>
    </row>
    <row r="774" spans="1:8" hidden="1">
      <c r="A774" s="5" t="s">
        <v>16</v>
      </c>
      <c r="H774" s="5" t="s">
        <v>27</v>
      </c>
    </row>
    <row r="775" spans="1:8" hidden="1">
      <c r="A775" s="5" t="s">
        <v>17</v>
      </c>
      <c r="H775" s="5" t="s">
        <v>27</v>
      </c>
    </row>
    <row r="776" spans="1:8" hidden="1">
      <c r="A776" s="5" t="s">
        <v>114</v>
      </c>
      <c r="H776" s="5" t="s">
        <v>27</v>
      </c>
    </row>
    <row r="777" spans="1:8" hidden="1">
      <c r="A777" s="6"/>
      <c r="H777" s="5" t="s">
        <v>27</v>
      </c>
    </row>
    <row r="778" spans="1:8" hidden="1">
      <c r="A778" s="5" t="s">
        <v>18</v>
      </c>
      <c r="H778" s="5" t="s">
        <v>27</v>
      </c>
    </row>
    <row r="779" spans="1:8" hidden="1">
      <c r="A779" s="7">
        <v>100000</v>
      </c>
      <c r="H779" s="5" t="s">
        <v>27</v>
      </c>
    </row>
    <row r="780" spans="1:8" hidden="1">
      <c r="A780" s="6"/>
      <c r="H780" s="5" t="s">
        <v>27</v>
      </c>
    </row>
    <row r="781" spans="1:8" hidden="1">
      <c r="A781" s="5" t="s">
        <v>19</v>
      </c>
      <c r="H781" s="5" t="s">
        <v>27</v>
      </c>
    </row>
    <row r="782" spans="1:8" hidden="1">
      <c r="A782" s="5" t="s">
        <v>20</v>
      </c>
      <c r="H782" s="5" t="s">
        <v>27</v>
      </c>
    </row>
    <row r="783" spans="1:8" hidden="1">
      <c r="A783" s="5" t="s">
        <v>21</v>
      </c>
      <c r="H783" s="5" t="s">
        <v>27</v>
      </c>
    </row>
    <row r="784" spans="1:8" hidden="1">
      <c r="A784" s="5" t="s">
        <v>22</v>
      </c>
      <c r="H784" s="5" t="s">
        <v>27</v>
      </c>
    </row>
    <row r="785" spans="1:8" hidden="1">
      <c r="A785" s="5" t="s">
        <v>23</v>
      </c>
      <c r="H785" s="5" t="s">
        <v>27</v>
      </c>
    </row>
    <row r="786" spans="1:8" hidden="1">
      <c r="A786" s="5" t="s">
        <v>24</v>
      </c>
      <c r="H786" s="5" t="s">
        <v>27</v>
      </c>
    </row>
    <row r="787" spans="1:8" hidden="1">
      <c r="A787" s="5" t="s">
        <v>25</v>
      </c>
      <c r="H787" s="5" t="s">
        <v>27</v>
      </c>
    </row>
    <row r="788" spans="1:8" hidden="1">
      <c r="A788" s="5" t="s">
        <v>26</v>
      </c>
      <c r="H788" s="5" t="s">
        <v>27</v>
      </c>
    </row>
    <row r="789" spans="1:8" hidden="1">
      <c r="A789" s="5" t="s">
        <v>27</v>
      </c>
      <c r="H789" s="5" t="s">
        <v>27</v>
      </c>
    </row>
    <row r="790" spans="1:8" hidden="1">
      <c r="A790" s="5" t="s">
        <v>6</v>
      </c>
      <c r="H790" s="5" t="s">
        <v>27</v>
      </c>
    </row>
    <row r="791" spans="1:8" hidden="1">
      <c r="A791" s="5" t="s">
        <v>28</v>
      </c>
      <c r="H791" s="5" t="s">
        <v>27</v>
      </c>
    </row>
    <row r="792" spans="1:8" hidden="1">
      <c r="A792" s="5" t="s">
        <v>29</v>
      </c>
      <c r="H792" s="5" t="s">
        <v>27</v>
      </c>
    </row>
    <row r="793" spans="1:8" hidden="1">
      <c r="A793" s="6"/>
      <c r="H793" s="5" t="s">
        <v>27</v>
      </c>
    </row>
    <row r="794" spans="1:8" hidden="1">
      <c r="A794" s="6"/>
      <c r="H794" s="5" t="s">
        <v>27</v>
      </c>
    </row>
    <row r="795" spans="1:8" hidden="1">
      <c r="A795" s="5" t="s">
        <v>6</v>
      </c>
      <c r="H795" s="5" t="s">
        <v>27</v>
      </c>
    </row>
    <row r="796" spans="1:8" hidden="1">
      <c r="A796" s="5" t="s">
        <v>30</v>
      </c>
      <c r="H796" s="5" t="s">
        <v>27</v>
      </c>
    </row>
    <row r="797" spans="1:8" hidden="1">
      <c r="A797" s="6"/>
      <c r="H797" s="5" t="s">
        <v>27</v>
      </c>
    </row>
    <row r="798" spans="1:8" hidden="1">
      <c r="A798" s="5" t="s">
        <v>31</v>
      </c>
      <c r="H798" s="5" t="s">
        <v>27</v>
      </c>
    </row>
    <row r="799" spans="1:8" hidden="1">
      <c r="A799" s="5" t="s">
        <v>32</v>
      </c>
      <c r="H799" s="5" t="s">
        <v>27</v>
      </c>
    </row>
    <row r="800" spans="1:8" hidden="1">
      <c r="A800" s="5" t="s">
        <v>33</v>
      </c>
      <c r="H800" s="5" t="s">
        <v>27</v>
      </c>
    </row>
    <row r="801" spans="1:8" hidden="1">
      <c r="A801" s="5" t="s">
        <v>34</v>
      </c>
      <c r="H801" s="5" t="s">
        <v>27</v>
      </c>
    </row>
    <row r="802" spans="1:8" hidden="1">
      <c r="A802" s="5" t="s">
        <v>35</v>
      </c>
      <c r="H802" s="5" t="s">
        <v>27</v>
      </c>
    </row>
    <row r="803" spans="1:8" hidden="1">
      <c r="A803" s="5" t="s">
        <v>36</v>
      </c>
      <c r="H803" s="5" t="s">
        <v>27</v>
      </c>
    </row>
    <row r="804" spans="1:8" hidden="1">
      <c r="A804" s="5" t="s">
        <v>37</v>
      </c>
      <c r="H804" s="5" t="s">
        <v>27</v>
      </c>
    </row>
    <row r="805" spans="1:8" hidden="1">
      <c r="A805" s="5" t="s">
        <v>38</v>
      </c>
      <c r="H805" s="5" t="s">
        <v>27</v>
      </c>
    </row>
    <row r="806" spans="1:8" hidden="1">
      <c r="A806" s="5" t="s">
        <v>39</v>
      </c>
      <c r="H806" s="5" t="s">
        <v>27</v>
      </c>
    </row>
    <row r="807" spans="1:8" hidden="1">
      <c r="A807" s="6"/>
      <c r="H807" s="5" t="s">
        <v>27</v>
      </c>
    </row>
    <row r="808" spans="1:8" hidden="1">
      <c r="A808" s="5" t="s">
        <v>112</v>
      </c>
      <c r="H808" s="5" t="s">
        <v>27</v>
      </c>
    </row>
    <row r="809" spans="1:8" hidden="1">
      <c r="A809" s="5" t="s">
        <v>113</v>
      </c>
      <c r="H809" s="5" t="s">
        <v>27</v>
      </c>
    </row>
    <row r="810" spans="1:8" hidden="1">
      <c r="A810" s="6"/>
      <c r="H810" s="5" t="s">
        <v>28</v>
      </c>
    </row>
    <row r="811" spans="1:8" hidden="1">
      <c r="A811" s="6"/>
      <c r="H811" s="5" t="s">
        <v>28</v>
      </c>
    </row>
    <row r="812" spans="1:8" hidden="1">
      <c r="A812" s="6"/>
      <c r="H812" s="5" t="s">
        <v>28</v>
      </c>
    </row>
    <row r="813" spans="1:8" hidden="1">
      <c r="A813" s="6"/>
      <c r="H813" s="5" t="s">
        <v>28</v>
      </c>
    </row>
    <row r="814" spans="1:8" hidden="1">
      <c r="A814" s="5" t="s">
        <v>6</v>
      </c>
      <c r="H814" s="5" t="s">
        <v>28</v>
      </c>
    </row>
    <row r="815" spans="1:8" hidden="1">
      <c r="A815" s="5" t="s">
        <v>40</v>
      </c>
      <c r="H815" s="5" t="s">
        <v>28</v>
      </c>
    </row>
    <row r="816" spans="1:8" hidden="1">
      <c r="A816" s="6"/>
      <c r="H816" s="5" t="s">
        <v>28</v>
      </c>
    </row>
    <row r="817" spans="1:8" hidden="1">
      <c r="A817" s="5" t="s">
        <v>41</v>
      </c>
      <c r="H817" s="5" t="s">
        <v>28</v>
      </c>
    </row>
    <row r="818" spans="1:8" hidden="1">
      <c r="A818" s="6"/>
      <c r="H818" s="5" t="s">
        <v>28</v>
      </c>
    </row>
    <row r="819" spans="1:8" hidden="1">
      <c r="A819" s="5" t="s">
        <v>42</v>
      </c>
      <c r="H819" s="5" t="s">
        <v>28</v>
      </c>
    </row>
    <row r="820" spans="1:8" hidden="1">
      <c r="A820" s="6"/>
      <c r="H820" s="5" t="s">
        <v>28</v>
      </c>
    </row>
    <row r="821" spans="1:8" hidden="1">
      <c r="A821" s="5" t="s">
        <v>43</v>
      </c>
      <c r="H821" s="5" t="s">
        <v>28</v>
      </c>
    </row>
    <row r="822" spans="1:8" hidden="1">
      <c r="A822" s="5" t="s">
        <v>44</v>
      </c>
      <c r="H822" s="5" t="s">
        <v>28</v>
      </c>
    </row>
    <row r="823" spans="1:8" hidden="1">
      <c r="A823" s="5" t="s">
        <v>45</v>
      </c>
      <c r="H823" s="5" t="s">
        <v>28</v>
      </c>
    </row>
    <row r="824" spans="1:8" hidden="1">
      <c r="A824" s="5" t="s">
        <v>46</v>
      </c>
      <c r="H824" s="5" t="s">
        <v>28</v>
      </c>
    </row>
    <row r="825" spans="1:8" hidden="1">
      <c r="A825" s="5" t="s">
        <v>47</v>
      </c>
      <c r="H825" s="5" t="s">
        <v>28</v>
      </c>
    </row>
    <row r="826" spans="1:8" hidden="1">
      <c r="A826" s="5" t="s">
        <v>37</v>
      </c>
      <c r="H826" s="5" t="s">
        <v>28</v>
      </c>
    </row>
    <row r="827" spans="1:8" hidden="1">
      <c r="A827" s="6"/>
      <c r="H827" s="5" t="s">
        <v>28</v>
      </c>
    </row>
    <row r="828" spans="1:8" hidden="1">
      <c r="A828" s="5" t="s">
        <v>112</v>
      </c>
      <c r="H828" s="5" t="s">
        <v>28</v>
      </c>
    </row>
    <row r="829" spans="1:8" hidden="1">
      <c r="A829" s="5" t="s">
        <v>113</v>
      </c>
      <c r="H829" s="5" t="s">
        <v>28</v>
      </c>
    </row>
    <row r="830" spans="1:8" hidden="1">
      <c r="A830" s="6"/>
      <c r="H830" s="5" t="s">
        <v>28</v>
      </c>
    </row>
    <row r="831" spans="1:8" hidden="1">
      <c r="A831" s="6"/>
      <c r="H831" s="5" t="s">
        <v>28</v>
      </c>
    </row>
    <row r="832" spans="1:8" hidden="1">
      <c r="A832" s="5" t="s">
        <v>3</v>
      </c>
      <c r="H832" s="5" t="s">
        <v>28</v>
      </c>
    </row>
    <row r="833" spans="1:8" hidden="1">
      <c r="A833" s="5" t="s">
        <v>4</v>
      </c>
      <c r="H833" s="5" t="s">
        <v>28</v>
      </c>
    </row>
    <row r="834" spans="1:8" hidden="1">
      <c r="A834" s="5" t="s">
        <v>5</v>
      </c>
      <c r="H834" s="5" t="s">
        <v>28</v>
      </c>
    </row>
    <row r="835" spans="1:8" hidden="1">
      <c r="A835" s="5" t="s">
        <v>6</v>
      </c>
      <c r="H835" s="5" t="s">
        <v>28</v>
      </c>
    </row>
    <row r="836" spans="1:8" hidden="1">
      <c r="A836" s="5" t="s">
        <v>7</v>
      </c>
      <c r="H836" s="5" t="s">
        <v>28</v>
      </c>
    </row>
    <row r="837" spans="1:8" hidden="1">
      <c r="A837" s="5" t="s">
        <v>6</v>
      </c>
      <c r="H837" s="5" t="s">
        <v>28</v>
      </c>
    </row>
    <row r="838" spans="1:8" hidden="1">
      <c r="A838" s="5" t="s">
        <v>115</v>
      </c>
      <c r="H838" s="5" t="s">
        <v>28</v>
      </c>
    </row>
    <row r="839" spans="1:8" hidden="1">
      <c r="A839" s="5" t="s">
        <v>116</v>
      </c>
      <c r="H839" s="5" t="s">
        <v>28</v>
      </c>
    </row>
    <row r="840" spans="1:8" hidden="1">
      <c r="A840" s="6"/>
      <c r="H840" s="5" t="s">
        <v>28</v>
      </c>
    </row>
    <row r="841" spans="1:8" hidden="1">
      <c r="A841" s="5" t="s">
        <v>50</v>
      </c>
      <c r="H841" s="5" t="s">
        <v>28</v>
      </c>
    </row>
    <row r="842" spans="1:8" hidden="1">
      <c r="A842" s="5" t="s">
        <v>103</v>
      </c>
      <c r="H842" s="5" t="s">
        <v>28</v>
      </c>
    </row>
    <row r="843" spans="1:8" hidden="1">
      <c r="A843" s="5" t="s">
        <v>6</v>
      </c>
      <c r="H843" s="5" t="s">
        <v>28</v>
      </c>
    </row>
    <row r="844" spans="1:8" hidden="1">
      <c r="A844" s="5" t="s">
        <v>51</v>
      </c>
      <c r="H844" s="5" t="s">
        <v>28</v>
      </c>
    </row>
    <row r="845" spans="1:8" hidden="1">
      <c r="A845" s="5" t="s">
        <v>52</v>
      </c>
      <c r="H845" s="5" t="s">
        <v>28</v>
      </c>
    </row>
    <row r="846" spans="1:8" hidden="1">
      <c r="A846" s="5" t="s">
        <v>53</v>
      </c>
      <c r="H846" s="5" t="s">
        <v>28</v>
      </c>
    </row>
    <row r="847" spans="1:8" hidden="1">
      <c r="A847" s="6"/>
      <c r="H847" s="5" t="s">
        <v>28</v>
      </c>
    </row>
    <row r="848" spans="1:8" hidden="1">
      <c r="A848" s="5" t="s">
        <v>19</v>
      </c>
      <c r="H848" s="5" t="s">
        <v>28</v>
      </c>
    </row>
    <row r="849" spans="1:8" hidden="1">
      <c r="A849" s="5" t="s">
        <v>20</v>
      </c>
      <c r="H849" s="5" t="s">
        <v>28</v>
      </c>
    </row>
    <row r="850" spans="1:8" hidden="1">
      <c r="A850" s="5" t="s">
        <v>21</v>
      </c>
      <c r="H850" s="5" t="s">
        <v>28</v>
      </c>
    </row>
    <row r="851" spans="1:8" hidden="1">
      <c r="A851" s="5" t="s">
        <v>22</v>
      </c>
      <c r="H851" s="5" t="s">
        <v>28</v>
      </c>
    </row>
    <row r="852" spans="1:8" hidden="1">
      <c r="A852" s="5" t="s">
        <v>23</v>
      </c>
      <c r="H852" s="5" t="s">
        <v>28</v>
      </c>
    </row>
    <row r="853" spans="1:8" hidden="1">
      <c r="A853" s="5" t="s">
        <v>24</v>
      </c>
      <c r="H853" s="5" t="s">
        <v>28</v>
      </c>
    </row>
    <row r="854" spans="1:8" hidden="1">
      <c r="A854" s="5" t="s">
        <v>25</v>
      </c>
      <c r="H854" s="5" t="s">
        <v>28</v>
      </c>
    </row>
    <row r="855" spans="1:8" hidden="1">
      <c r="A855" s="5" t="s">
        <v>26</v>
      </c>
      <c r="H855" s="5" t="s">
        <v>28</v>
      </c>
    </row>
    <row r="856" spans="1:8" hidden="1">
      <c r="A856" s="5" t="s">
        <v>27</v>
      </c>
      <c r="H856" s="5" t="s">
        <v>28</v>
      </c>
    </row>
    <row r="857" spans="1:8" hidden="1">
      <c r="A857" s="5" t="s">
        <v>6</v>
      </c>
      <c r="H857" s="5" t="s">
        <v>28</v>
      </c>
    </row>
    <row r="858" spans="1:8" hidden="1">
      <c r="A858" s="5" t="s">
        <v>28</v>
      </c>
      <c r="H858" s="5" t="s">
        <v>28</v>
      </c>
    </row>
    <row r="859" spans="1:8" hidden="1">
      <c r="A859" s="5" t="s">
        <v>29</v>
      </c>
      <c r="H859" s="5" t="s">
        <v>28</v>
      </c>
    </row>
    <row r="860" spans="1:8" hidden="1">
      <c r="A860" s="6"/>
      <c r="H860" s="5" t="s">
        <v>28</v>
      </c>
    </row>
    <row r="861" spans="1:8" hidden="1">
      <c r="A861" s="6"/>
      <c r="H861" s="5" t="s">
        <v>28</v>
      </c>
    </row>
    <row r="862" spans="1:8" hidden="1">
      <c r="A862" s="5" t="s">
        <v>6</v>
      </c>
      <c r="H862" s="5" t="s">
        <v>28</v>
      </c>
    </row>
    <row r="863" spans="1:8" hidden="1">
      <c r="A863" s="5" t="s">
        <v>30</v>
      </c>
      <c r="H863" s="5" t="s">
        <v>28</v>
      </c>
    </row>
    <row r="864" spans="1:8" hidden="1">
      <c r="A864" s="6"/>
      <c r="H864" s="5" t="s">
        <v>28</v>
      </c>
    </row>
    <row r="865" spans="1:8" hidden="1">
      <c r="A865" s="5" t="s">
        <v>31</v>
      </c>
      <c r="H865" s="5" t="s">
        <v>28</v>
      </c>
    </row>
    <row r="866" spans="1:8" hidden="1">
      <c r="A866" s="5" t="s">
        <v>32</v>
      </c>
      <c r="H866" s="5" t="s">
        <v>28</v>
      </c>
    </row>
    <row r="867" spans="1:8" hidden="1">
      <c r="A867" s="5" t="s">
        <v>33</v>
      </c>
      <c r="H867" s="5" t="s">
        <v>28</v>
      </c>
    </row>
    <row r="868" spans="1:8" hidden="1">
      <c r="A868" s="5" t="s">
        <v>34</v>
      </c>
      <c r="H868" s="5" t="s">
        <v>28</v>
      </c>
    </row>
    <row r="869" spans="1:8" hidden="1">
      <c r="A869" s="5" t="s">
        <v>35</v>
      </c>
      <c r="H869" s="5" t="s">
        <v>28</v>
      </c>
    </row>
    <row r="870" spans="1:8" hidden="1">
      <c r="A870" s="5" t="s">
        <v>36</v>
      </c>
      <c r="H870" s="5" t="s">
        <v>28</v>
      </c>
    </row>
    <row r="871" spans="1:8" hidden="1">
      <c r="A871" s="5" t="s">
        <v>37</v>
      </c>
      <c r="H871" s="5" t="s">
        <v>28</v>
      </c>
    </row>
    <row r="872" spans="1:8" hidden="1">
      <c r="A872" s="5" t="s">
        <v>38</v>
      </c>
      <c r="H872" s="5" t="s">
        <v>28</v>
      </c>
    </row>
    <row r="873" spans="1:8" hidden="1">
      <c r="A873" s="5" t="s">
        <v>39</v>
      </c>
      <c r="H873" s="5" t="s">
        <v>28</v>
      </c>
    </row>
    <row r="874" spans="1:8" hidden="1">
      <c r="A874" s="6"/>
      <c r="H874" s="5" t="s">
        <v>28</v>
      </c>
    </row>
    <row r="875" spans="1:8" hidden="1">
      <c r="A875" s="5" t="s">
        <v>115</v>
      </c>
      <c r="H875" s="5" t="s">
        <v>7</v>
      </c>
    </row>
    <row r="876" spans="1:8" hidden="1">
      <c r="A876" s="5" t="s">
        <v>116</v>
      </c>
      <c r="H876" s="5" t="s">
        <v>7</v>
      </c>
    </row>
    <row r="877" spans="1:8" hidden="1">
      <c r="A877" s="6"/>
      <c r="H877" s="5" t="s">
        <v>7</v>
      </c>
    </row>
    <row r="878" spans="1:8" hidden="1">
      <c r="A878" s="6"/>
      <c r="H878" s="5" t="s">
        <v>7</v>
      </c>
    </row>
    <row r="879" spans="1:8" hidden="1">
      <c r="A879" s="6"/>
      <c r="H879" s="5" t="s">
        <v>7</v>
      </c>
    </row>
    <row r="880" spans="1:8" hidden="1">
      <c r="A880" s="6"/>
      <c r="H880" s="5" t="s">
        <v>7</v>
      </c>
    </row>
    <row r="881" spans="1:8" hidden="1">
      <c r="A881" s="5" t="s">
        <v>6</v>
      </c>
      <c r="H881" s="5" t="s">
        <v>7</v>
      </c>
    </row>
    <row r="882" spans="1:8" hidden="1">
      <c r="A882" s="5" t="s">
        <v>40</v>
      </c>
      <c r="H882" s="5" t="s">
        <v>7</v>
      </c>
    </row>
    <row r="883" spans="1:8" hidden="1">
      <c r="A883" s="6"/>
      <c r="H883" s="5" t="s">
        <v>7</v>
      </c>
    </row>
    <row r="884" spans="1:8" hidden="1">
      <c r="A884" s="5" t="s">
        <v>41</v>
      </c>
      <c r="H884" s="5" t="s">
        <v>7</v>
      </c>
    </row>
    <row r="885" spans="1:8" hidden="1">
      <c r="A885" s="6"/>
      <c r="H885" s="5" t="s">
        <v>7</v>
      </c>
    </row>
    <row r="886" spans="1:8" hidden="1">
      <c r="A886" s="5" t="s">
        <v>42</v>
      </c>
      <c r="H886" s="5" t="s">
        <v>7</v>
      </c>
    </row>
    <row r="887" spans="1:8" hidden="1">
      <c r="A887" s="6"/>
      <c r="H887" s="5" t="s">
        <v>7</v>
      </c>
    </row>
    <row r="888" spans="1:8" hidden="1">
      <c r="A888" s="5" t="s">
        <v>43</v>
      </c>
      <c r="H888" s="5" t="s">
        <v>7</v>
      </c>
    </row>
    <row r="889" spans="1:8" hidden="1">
      <c r="A889" s="5" t="s">
        <v>44</v>
      </c>
      <c r="H889" s="5" t="s">
        <v>7</v>
      </c>
    </row>
    <row r="890" spans="1:8" hidden="1">
      <c r="A890" s="5" t="s">
        <v>45</v>
      </c>
      <c r="H890" s="5" t="s">
        <v>7</v>
      </c>
    </row>
    <row r="891" spans="1:8" hidden="1">
      <c r="A891" s="5" t="s">
        <v>46</v>
      </c>
      <c r="H891" s="5" t="s">
        <v>7</v>
      </c>
    </row>
    <row r="892" spans="1:8" hidden="1">
      <c r="A892" s="5" t="s">
        <v>47</v>
      </c>
      <c r="H892" s="5" t="s">
        <v>7</v>
      </c>
    </row>
    <row r="893" spans="1:8" hidden="1">
      <c r="A893" s="5" t="s">
        <v>37</v>
      </c>
      <c r="H893" s="5" t="s">
        <v>7</v>
      </c>
    </row>
    <row r="894" spans="1:8" hidden="1">
      <c r="A894" s="6"/>
      <c r="H894" s="5" t="s">
        <v>7</v>
      </c>
    </row>
    <row r="895" spans="1:8" hidden="1">
      <c r="A895" s="5" t="s">
        <v>115</v>
      </c>
      <c r="H895" s="5" t="s">
        <v>7</v>
      </c>
    </row>
    <row r="896" spans="1:8" hidden="1">
      <c r="A896" s="5" t="s">
        <v>116</v>
      </c>
      <c r="H896" s="5" t="s">
        <v>7</v>
      </c>
    </row>
    <row r="897" spans="1:8" hidden="1">
      <c r="A897" s="6"/>
      <c r="H897" s="5" t="s">
        <v>7</v>
      </c>
    </row>
    <row r="898" spans="1:8" hidden="1">
      <c r="A898" s="6"/>
      <c r="H898" s="5" t="s">
        <v>7</v>
      </c>
    </row>
    <row r="899" spans="1:8" hidden="1">
      <c r="A899" s="5" t="s">
        <v>3</v>
      </c>
      <c r="H899" s="5" t="s">
        <v>7</v>
      </c>
    </row>
    <row r="900" spans="1:8" hidden="1">
      <c r="A900" s="5" t="s">
        <v>4</v>
      </c>
      <c r="H900" s="5" t="s">
        <v>7</v>
      </c>
    </row>
    <row r="901" spans="1:8" hidden="1">
      <c r="A901" s="5" t="s">
        <v>5</v>
      </c>
      <c r="H901" s="5" t="s">
        <v>7</v>
      </c>
    </row>
    <row r="902" spans="1:8" hidden="1">
      <c r="A902" s="5" t="s">
        <v>6</v>
      </c>
      <c r="H902" s="5" t="s">
        <v>7</v>
      </c>
    </row>
    <row r="903" spans="1:8" hidden="1">
      <c r="A903" s="5" t="s">
        <v>7</v>
      </c>
      <c r="H903" s="5" t="s">
        <v>7</v>
      </c>
    </row>
    <row r="904" spans="1:8" hidden="1">
      <c r="A904" s="5" t="s">
        <v>6</v>
      </c>
      <c r="H904" s="5" t="s">
        <v>7</v>
      </c>
    </row>
    <row r="905" spans="1:8" hidden="1">
      <c r="A905" s="5" t="s">
        <v>117</v>
      </c>
      <c r="H905" s="5" t="s">
        <v>7</v>
      </c>
    </row>
    <row r="906" spans="1:8" hidden="1">
      <c r="A906" s="5" t="s">
        <v>118</v>
      </c>
      <c r="H906" s="5" t="s">
        <v>7</v>
      </c>
    </row>
    <row r="907" spans="1:8" hidden="1">
      <c r="A907" s="6"/>
      <c r="H907" s="5" t="s">
        <v>7</v>
      </c>
    </row>
    <row r="908" spans="1:8" hidden="1">
      <c r="A908" s="5" t="s">
        <v>87</v>
      </c>
      <c r="H908" s="5" t="s">
        <v>7</v>
      </c>
    </row>
    <row r="909" spans="1:8" hidden="1">
      <c r="A909" s="5" t="s">
        <v>88</v>
      </c>
      <c r="H909" s="5" t="s">
        <v>7</v>
      </c>
    </row>
    <row r="910" spans="1:8" hidden="1">
      <c r="A910" s="5" t="s">
        <v>89</v>
      </c>
      <c r="H910" s="5" t="s">
        <v>7</v>
      </c>
    </row>
    <row r="911" spans="1:8" hidden="1">
      <c r="A911" s="5" t="s">
        <v>119</v>
      </c>
      <c r="H911" s="5" t="s">
        <v>7</v>
      </c>
    </row>
    <row r="912" spans="1:8" hidden="1">
      <c r="A912" s="5" t="s">
        <v>6</v>
      </c>
      <c r="H912" s="5" t="s">
        <v>7</v>
      </c>
    </row>
    <row r="913" spans="1:8" hidden="1">
      <c r="A913" s="5" t="s">
        <v>91</v>
      </c>
      <c r="H913" s="5" t="s">
        <v>7</v>
      </c>
    </row>
    <row r="914" spans="1:8" hidden="1">
      <c r="A914" s="5" t="s">
        <v>120</v>
      </c>
      <c r="H914" s="5" t="s">
        <v>7</v>
      </c>
    </row>
    <row r="915" spans="1:8" hidden="1">
      <c r="A915" s="5" t="s">
        <v>121</v>
      </c>
      <c r="H915" s="5" t="s">
        <v>7</v>
      </c>
    </row>
    <row r="916" spans="1:8" hidden="1">
      <c r="A916" s="6"/>
      <c r="H916" s="5" t="s">
        <v>7</v>
      </c>
    </row>
    <row r="917" spans="1:8" hidden="1">
      <c r="A917" s="5" t="s">
        <v>18</v>
      </c>
      <c r="H917" s="5" t="s">
        <v>7</v>
      </c>
    </row>
    <row r="918" spans="1:8" hidden="1">
      <c r="A918" s="7">
        <v>45000</v>
      </c>
      <c r="H918" s="5" t="s">
        <v>7</v>
      </c>
    </row>
    <row r="919" spans="1:8" hidden="1">
      <c r="A919" s="6"/>
      <c r="H919" s="5" t="s">
        <v>7</v>
      </c>
    </row>
    <row r="920" spans="1:8" hidden="1">
      <c r="A920" s="5" t="s">
        <v>19</v>
      </c>
      <c r="H920" s="5" t="s">
        <v>7</v>
      </c>
    </row>
    <row r="921" spans="1:8" hidden="1">
      <c r="A921" s="5" t="s">
        <v>20</v>
      </c>
      <c r="H921" s="5" t="s">
        <v>7</v>
      </c>
    </row>
    <row r="922" spans="1:8" hidden="1">
      <c r="A922" s="5" t="s">
        <v>21</v>
      </c>
      <c r="H922" s="5" t="s">
        <v>7</v>
      </c>
    </row>
    <row r="923" spans="1:8" hidden="1">
      <c r="A923" s="5" t="s">
        <v>22</v>
      </c>
      <c r="H923" s="5" t="s">
        <v>7</v>
      </c>
    </row>
    <row r="924" spans="1:8" hidden="1">
      <c r="A924" s="5" t="s">
        <v>23</v>
      </c>
      <c r="H924" s="5" t="s">
        <v>7</v>
      </c>
    </row>
    <row r="925" spans="1:8" hidden="1">
      <c r="A925" s="5" t="s">
        <v>24</v>
      </c>
      <c r="H925" s="5" t="s">
        <v>7</v>
      </c>
    </row>
    <row r="926" spans="1:8" hidden="1">
      <c r="A926" s="5" t="s">
        <v>25</v>
      </c>
      <c r="H926" s="5" t="s">
        <v>7</v>
      </c>
    </row>
    <row r="927" spans="1:8" hidden="1">
      <c r="A927" s="5" t="s">
        <v>26</v>
      </c>
      <c r="H927" s="5" t="s">
        <v>7</v>
      </c>
    </row>
    <row r="928" spans="1:8" hidden="1">
      <c r="A928" s="5" t="s">
        <v>27</v>
      </c>
      <c r="H928" s="5" t="s">
        <v>7</v>
      </c>
    </row>
    <row r="929" spans="1:8" hidden="1">
      <c r="A929" s="5" t="s">
        <v>6</v>
      </c>
      <c r="H929" s="5" t="s">
        <v>7</v>
      </c>
    </row>
    <row r="930" spans="1:8" hidden="1">
      <c r="A930" s="5" t="s">
        <v>28</v>
      </c>
      <c r="H930" s="5" t="s">
        <v>7</v>
      </c>
    </row>
    <row r="931" spans="1:8" hidden="1">
      <c r="A931" s="5" t="s">
        <v>29</v>
      </c>
      <c r="H931" s="5" t="s">
        <v>7</v>
      </c>
    </row>
    <row r="932" spans="1:8" hidden="1">
      <c r="A932" s="6"/>
      <c r="H932" s="5" t="s">
        <v>7</v>
      </c>
    </row>
    <row r="933" spans="1:8" hidden="1">
      <c r="A933" s="6"/>
      <c r="H933" s="5" t="s">
        <v>7</v>
      </c>
    </row>
    <row r="934" spans="1:8" hidden="1">
      <c r="A934" s="5" t="s">
        <v>6</v>
      </c>
      <c r="H934" s="5" t="s">
        <v>7</v>
      </c>
    </row>
    <row r="935" spans="1:8" hidden="1">
      <c r="A935" s="5" t="s">
        <v>30</v>
      </c>
      <c r="H935" s="5" t="s">
        <v>7</v>
      </c>
    </row>
    <row r="936" spans="1:8" hidden="1">
      <c r="A936" s="6"/>
      <c r="H936" s="5" t="s">
        <v>7</v>
      </c>
    </row>
    <row r="937" spans="1:8" hidden="1">
      <c r="A937" s="5" t="s">
        <v>31</v>
      </c>
      <c r="H937" s="5" t="s">
        <v>7</v>
      </c>
    </row>
    <row r="938" spans="1:8" hidden="1">
      <c r="A938" s="5" t="s">
        <v>32</v>
      </c>
      <c r="H938" s="5" t="s">
        <v>7</v>
      </c>
    </row>
    <row r="939" spans="1:8" hidden="1">
      <c r="A939" s="5" t="s">
        <v>33</v>
      </c>
      <c r="H939" s="5" t="s">
        <v>7</v>
      </c>
    </row>
    <row r="940" spans="1:8" hidden="1">
      <c r="A940" s="5" t="s">
        <v>34</v>
      </c>
      <c r="H940" s="5" t="s">
        <v>7</v>
      </c>
    </row>
    <row r="941" spans="1:8" hidden="1">
      <c r="A941" s="5" t="s">
        <v>35</v>
      </c>
      <c r="H941" s="5" t="s">
        <v>7</v>
      </c>
    </row>
    <row r="942" spans="1:8" hidden="1">
      <c r="A942" s="5" t="s">
        <v>36</v>
      </c>
      <c r="H942" s="5" t="s">
        <v>7</v>
      </c>
    </row>
    <row r="943" spans="1:8" hidden="1">
      <c r="A943" s="5" t="s">
        <v>37</v>
      </c>
      <c r="H943" s="5" t="s">
        <v>7</v>
      </c>
    </row>
    <row r="944" spans="1:8" hidden="1">
      <c r="A944" s="5" t="s">
        <v>38</v>
      </c>
      <c r="H944" s="5" t="s">
        <v>7</v>
      </c>
    </row>
    <row r="945" spans="1:8" hidden="1">
      <c r="A945" s="5" t="s">
        <v>39</v>
      </c>
      <c r="H945" s="5" t="s">
        <v>7</v>
      </c>
    </row>
    <row r="946" spans="1:8" hidden="1">
      <c r="A946" s="6"/>
      <c r="H946" s="5" t="s">
        <v>7</v>
      </c>
    </row>
    <row r="947" spans="1:8" hidden="1">
      <c r="A947" s="5" t="s">
        <v>117</v>
      </c>
      <c r="H947" s="5" t="s">
        <v>29</v>
      </c>
    </row>
    <row r="948" spans="1:8" hidden="1">
      <c r="A948" s="5" t="s">
        <v>118</v>
      </c>
      <c r="H948" s="5" t="s">
        <v>29</v>
      </c>
    </row>
    <row r="949" spans="1:8" hidden="1">
      <c r="A949" s="6"/>
      <c r="H949" s="5" t="s">
        <v>29</v>
      </c>
    </row>
    <row r="950" spans="1:8" hidden="1">
      <c r="A950" s="6"/>
      <c r="H950" s="5" t="s">
        <v>29</v>
      </c>
    </row>
    <row r="951" spans="1:8" hidden="1">
      <c r="A951" s="6"/>
      <c r="H951" s="5" t="s">
        <v>29</v>
      </c>
    </row>
    <row r="952" spans="1:8" hidden="1">
      <c r="A952" s="6"/>
      <c r="H952" s="5" t="s">
        <v>29</v>
      </c>
    </row>
    <row r="953" spans="1:8" hidden="1">
      <c r="A953" s="5" t="s">
        <v>6</v>
      </c>
      <c r="H953" s="5" t="s">
        <v>29</v>
      </c>
    </row>
    <row r="954" spans="1:8" hidden="1">
      <c r="A954" s="5" t="s">
        <v>40</v>
      </c>
      <c r="H954" s="5" t="s">
        <v>29</v>
      </c>
    </row>
    <row r="955" spans="1:8" hidden="1">
      <c r="A955" s="6"/>
      <c r="H955" s="5" t="s">
        <v>29</v>
      </c>
    </row>
    <row r="956" spans="1:8" hidden="1">
      <c r="A956" s="5" t="s">
        <v>41</v>
      </c>
      <c r="H956" s="5" t="s">
        <v>29</v>
      </c>
    </row>
    <row r="957" spans="1:8" hidden="1">
      <c r="A957" s="6"/>
      <c r="H957" s="5" t="s">
        <v>29</v>
      </c>
    </row>
    <row r="958" spans="1:8" hidden="1">
      <c r="A958" s="5" t="s">
        <v>42</v>
      </c>
      <c r="H958" s="5" t="s">
        <v>29</v>
      </c>
    </row>
    <row r="959" spans="1:8" hidden="1">
      <c r="A959" s="6"/>
      <c r="H959" s="5" t="s">
        <v>29</v>
      </c>
    </row>
    <row r="960" spans="1:8" hidden="1">
      <c r="A960" s="5" t="s">
        <v>43</v>
      </c>
      <c r="H960" s="5" t="s">
        <v>29</v>
      </c>
    </row>
    <row r="961" spans="1:8" hidden="1">
      <c r="A961" s="5" t="s">
        <v>44</v>
      </c>
      <c r="H961" s="5" t="s">
        <v>29</v>
      </c>
    </row>
    <row r="962" spans="1:8" hidden="1">
      <c r="A962" s="5" t="s">
        <v>45</v>
      </c>
      <c r="H962" s="5" t="s">
        <v>29</v>
      </c>
    </row>
    <row r="963" spans="1:8" hidden="1">
      <c r="A963" s="5" t="s">
        <v>46</v>
      </c>
      <c r="H963" s="5" t="s">
        <v>29</v>
      </c>
    </row>
    <row r="964" spans="1:8" hidden="1">
      <c r="A964" s="5" t="s">
        <v>47</v>
      </c>
      <c r="H964" s="5" t="s">
        <v>29</v>
      </c>
    </row>
    <row r="965" spans="1:8" hidden="1">
      <c r="A965" s="5" t="s">
        <v>37</v>
      </c>
      <c r="H965" s="5" t="s">
        <v>29</v>
      </c>
    </row>
    <row r="966" spans="1:8" hidden="1">
      <c r="A966" s="6"/>
      <c r="H966" s="5" t="s">
        <v>29</v>
      </c>
    </row>
    <row r="967" spans="1:8" hidden="1">
      <c r="A967" s="5" t="s">
        <v>117</v>
      </c>
      <c r="H967" s="5" t="s">
        <v>29</v>
      </c>
    </row>
    <row r="968" spans="1:8" hidden="1">
      <c r="A968" s="5" t="s">
        <v>118</v>
      </c>
      <c r="H968" s="5" t="s">
        <v>29</v>
      </c>
    </row>
    <row r="969" spans="1:8" hidden="1">
      <c r="A969" s="6"/>
      <c r="H969" s="5" t="s">
        <v>29</v>
      </c>
    </row>
    <row r="970" spans="1:8" hidden="1">
      <c r="A970" s="6"/>
      <c r="H970" s="5" t="s">
        <v>29</v>
      </c>
    </row>
    <row r="971" spans="1:8" hidden="1">
      <c r="A971" s="5" t="s">
        <v>3</v>
      </c>
      <c r="H971" s="5" t="s">
        <v>29</v>
      </c>
    </row>
    <row r="972" spans="1:8" hidden="1">
      <c r="A972" s="5" t="s">
        <v>4</v>
      </c>
      <c r="H972" s="5" t="s">
        <v>29</v>
      </c>
    </row>
    <row r="973" spans="1:8" hidden="1">
      <c r="A973" s="5" t="s">
        <v>5</v>
      </c>
      <c r="H973" s="5" t="s">
        <v>29</v>
      </c>
    </row>
    <row r="974" spans="1:8" hidden="1">
      <c r="A974" s="5" t="s">
        <v>6</v>
      </c>
      <c r="H974" s="5" t="s">
        <v>29</v>
      </c>
    </row>
    <row r="975" spans="1:8" hidden="1">
      <c r="A975" s="5" t="s">
        <v>7</v>
      </c>
      <c r="H975" s="5" t="s">
        <v>29</v>
      </c>
    </row>
    <row r="976" spans="1:8" hidden="1">
      <c r="A976" s="5" t="s">
        <v>6</v>
      </c>
      <c r="H976" s="5" t="s">
        <v>29</v>
      </c>
    </row>
    <row r="977" spans="1:8" hidden="1">
      <c r="A977" s="5" t="s">
        <v>122</v>
      </c>
      <c r="H977" s="5" t="s">
        <v>29</v>
      </c>
    </row>
    <row r="978" spans="1:8" hidden="1">
      <c r="A978" s="5" t="s">
        <v>123</v>
      </c>
      <c r="H978" s="5" t="s">
        <v>29</v>
      </c>
    </row>
    <row r="979" spans="1:8" hidden="1">
      <c r="A979" s="6"/>
      <c r="H979" s="5" t="s">
        <v>29</v>
      </c>
    </row>
    <row r="980" spans="1:8" hidden="1">
      <c r="A980" s="5" t="s">
        <v>124</v>
      </c>
      <c r="H980" s="5" t="s">
        <v>29</v>
      </c>
    </row>
    <row r="981" spans="1:8" hidden="1">
      <c r="A981" s="5" t="s">
        <v>125</v>
      </c>
      <c r="H981" s="5" t="s">
        <v>29</v>
      </c>
    </row>
    <row r="982" spans="1:8" hidden="1">
      <c r="A982" s="5" t="s">
        <v>15</v>
      </c>
      <c r="H982" s="5" t="s">
        <v>29</v>
      </c>
    </row>
    <row r="983" spans="1:8" hidden="1">
      <c r="A983" s="5" t="s">
        <v>6</v>
      </c>
      <c r="H983" s="5" t="s">
        <v>29</v>
      </c>
    </row>
    <row r="984" spans="1:8" hidden="1">
      <c r="A984" s="5" t="s">
        <v>126</v>
      </c>
      <c r="H984" s="5" t="s">
        <v>29</v>
      </c>
    </row>
    <row r="985" spans="1:8" hidden="1">
      <c r="A985" s="5" t="s">
        <v>52</v>
      </c>
      <c r="H985" s="5" t="s">
        <v>29</v>
      </c>
    </row>
    <row r="986" spans="1:8" hidden="1">
      <c r="A986" s="5" t="s">
        <v>127</v>
      </c>
      <c r="H986" s="5" t="s">
        <v>29</v>
      </c>
    </row>
    <row r="987" spans="1:8" hidden="1">
      <c r="A987" s="6"/>
      <c r="H987" s="5" t="s">
        <v>29</v>
      </c>
    </row>
    <row r="988" spans="1:8" hidden="1">
      <c r="A988" s="5" t="s">
        <v>19</v>
      </c>
      <c r="H988" s="5" t="s">
        <v>29</v>
      </c>
    </row>
    <row r="989" spans="1:8" hidden="1">
      <c r="A989" s="5" t="s">
        <v>20</v>
      </c>
      <c r="H989" s="5" t="s">
        <v>29</v>
      </c>
    </row>
    <row r="990" spans="1:8" hidden="1">
      <c r="A990" s="5" t="s">
        <v>21</v>
      </c>
      <c r="H990" s="5" t="s">
        <v>29</v>
      </c>
    </row>
    <row r="991" spans="1:8" hidden="1">
      <c r="A991" s="5" t="s">
        <v>22</v>
      </c>
      <c r="H991" s="5" t="s">
        <v>29</v>
      </c>
    </row>
    <row r="992" spans="1:8" hidden="1">
      <c r="A992" s="5" t="s">
        <v>23</v>
      </c>
      <c r="H992" s="5" t="s">
        <v>29</v>
      </c>
    </row>
    <row r="993" spans="1:8" hidden="1">
      <c r="A993" s="5" t="s">
        <v>24</v>
      </c>
      <c r="H993" s="5" t="s">
        <v>29</v>
      </c>
    </row>
    <row r="994" spans="1:8" hidden="1">
      <c r="A994" s="5" t="s">
        <v>25</v>
      </c>
      <c r="H994" s="5" t="s">
        <v>29</v>
      </c>
    </row>
    <row r="995" spans="1:8" hidden="1">
      <c r="A995" s="5" t="s">
        <v>26</v>
      </c>
      <c r="H995" s="5" t="s">
        <v>29</v>
      </c>
    </row>
    <row r="996" spans="1:8" hidden="1">
      <c r="A996" s="5" t="s">
        <v>27</v>
      </c>
      <c r="H996" s="5" t="s">
        <v>29</v>
      </c>
    </row>
    <row r="997" spans="1:8" hidden="1">
      <c r="A997" s="5" t="s">
        <v>6</v>
      </c>
      <c r="H997" s="5" t="s">
        <v>29</v>
      </c>
    </row>
    <row r="998" spans="1:8" hidden="1">
      <c r="A998" s="5" t="s">
        <v>28</v>
      </c>
      <c r="H998" s="5" t="s">
        <v>29</v>
      </c>
    </row>
    <row r="999" spans="1:8" hidden="1">
      <c r="A999" s="5" t="s">
        <v>29</v>
      </c>
      <c r="H999" s="5" t="s">
        <v>29</v>
      </c>
    </row>
    <row r="1000" spans="1:8" hidden="1">
      <c r="A1000" s="6"/>
      <c r="H1000" s="5" t="s">
        <v>29</v>
      </c>
    </row>
    <row r="1001" spans="1:8" hidden="1">
      <c r="A1001" s="6"/>
      <c r="H1001" s="5" t="s">
        <v>29</v>
      </c>
    </row>
    <row r="1002" spans="1:8" hidden="1">
      <c r="A1002" s="5" t="s">
        <v>6</v>
      </c>
      <c r="H1002" s="5" t="s">
        <v>29</v>
      </c>
    </row>
    <row r="1003" spans="1:8" hidden="1">
      <c r="A1003" s="5" t="s">
        <v>30</v>
      </c>
      <c r="H1003" s="5" t="s">
        <v>29</v>
      </c>
    </row>
    <row r="1004" spans="1:8" hidden="1">
      <c r="A1004" s="6"/>
      <c r="H1004" s="5" t="s">
        <v>29</v>
      </c>
    </row>
    <row r="1005" spans="1:8" hidden="1">
      <c r="A1005" s="5" t="s">
        <v>31</v>
      </c>
      <c r="H1005" s="5" t="s">
        <v>29</v>
      </c>
    </row>
    <row r="1006" spans="1:8" hidden="1">
      <c r="A1006" s="5" t="s">
        <v>32</v>
      </c>
      <c r="H1006" s="5" t="s">
        <v>29</v>
      </c>
    </row>
    <row r="1007" spans="1:8" hidden="1">
      <c r="A1007" s="5" t="s">
        <v>33</v>
      </c>
      <c r="H1007" s="5" t="s">
        <v>29</v>
      </c>
    </row>
    <row r="1008" spans="1:8" hidden="1">
      <c r="A1008" s="5" t="s">
        <v>34</v>
      </c>
      <c r="H1008" s="5" t="s">
        <v>29</v>
      </c>
    </row>
    <row r="1009" spans="1:8" hidden="1">
      <c r="A1009" s="5" t="s">
        <v>35</v>
      </c>
      <c r="H1009" s="5" t="s">
        <v>29</v>
      </c>
    </row>
    <row r="1010" spans="1:8" hidden="1">
      <c r="A1010" s="5" t="s">
        <v>36</v>
      </c>
      <c r="H1010" s="5" t="s">
        <v>29</v>
      </c>
    </row>
    <row r="1011" spans="1:8" hidden="1">
      <c r="A1011" s="5" t="s">
        <v>37</v>
      </c>
      <c r="H1011" s="5" t="s">
        <v>29</v>
      </c>
    </row>
    <row r="1012" spans="1:8" hidden="1">
      <c r="A1012" s="5" t="s">
        <v>38</v>
      </c>
      <c r="H1012" s="5" t="s">
        <v>5</v>
      </c>
    </row>
    <row r="1013" spans="1:8" hidden="1">
      <c r="A1013" s="5" t="s">
        <v>39</v>
      </c>
      <c r="H1013" s="5" t="s">
        <v>5</v>
      </c>
    </row>
    <row r="1014" spans="1:8" hidden="1">
      <c r="A1014" s="6"/>
      <c r="H1014" s="5" t="s">
        <v>5</v>
      </c>
    </row>
    <row r="1015" spans="1:8" hidden="1">
      <c r="A1015" s="5" t="s">
        <v>122</v>
      </c>
      <c r="H1015" s="5" t="s">
        <v>5</v>
      </c>
    </row>
    <row r="1016" spans="1:8" hidden="1">
      <c r="A1016" s="5" t="s">
        <v>123</v>
      </c>
      <c r="H1016" s="5" t="s">
        <v>5</v>
      </c>
    </row>
    <row r="1017" spans="1:8" hidden="1">
      <c r="A1017" s="6"/>
      <c r="H1017" s="5" t="s">
        <v>5</v>
      </c>
    </row>
    <row r="1018" spans="1:8" hidden="1">
      <c r="A1018" s="6"/>
      <c r="H1018" s="5" t="s">
        <v>5</v>
      </c>
    </row>
    <row r="1019" spans="1:8" hidden="1">
      <c r="A1019" s="6"/>
      <c r="H1019" s="5" t="s">
        <v>5</v>
      </c>
    </row>
    <row r="1020" spans="1:8" hidden="1">
      <c r="A1020" s="6"/>
      <c r="H1020" s="5" t="s">
        <v>5</v>
      </c>
    </row>
    <row r="1021" spans="1:8" hidden="1">
      <c r="A1021" s="5" t="s">
        <v>6</v>
      </c>
      <c r="H1021" s="5" t="s">
        <v>5</v>
      </c>
    </row>
    <row r="1022" spans="1:8" hidden="1">
      <c r="A1022" s="5" t="s">
        <v>40</v>
      </c>
      <c r="H1022" s="5" t="s">
        <v>5</v>
      </c>
    </row>
    <row r="1023" spans="1:8" hidden="1">
      <c r="A1023" s="6"/>
      <c r="H1023" s="5" t="s">
        <v>5</v>
      </c>
    </row>
    <row r="1024" spans="1:8" hidden="1">
      <c r="A1024" s="5" t="s">
        <v>41</v>
      </c>
      <c r="H1024" s="5" t="s">
        <v>5</v>
      </c>
    </row>
    <row r="1025" spans="1:8" hidden="1">
      <c r="A1025" s="6"/>
      <c r="H1025" s="5" t="s">
        <v>5</v>
      </c>
    </row>
    <row r="1026" spans="1:8" hidden="1">
      <c r="A1026" s="5" t="s">
        <v>42</v>
      </c>
      <c r="H1026" s="5" t="s">
        <v>5</v>
      </c>
    </row>
    <row r="1027" spans="1:8" hidden="1">
      <c r="A1027" s="6"/>
      <c r="H1027" s="5" t="s">
        <v>5</v>
      </c>
    </row>
    <row r="1028" spans="1:8" hidden="1">
      <c r="A1028" s="5" t="s">
        <v>43</v>
      </c>
      <c r="H1028" s="5" t="s">
        <v>5</v>
      </c>
    </row>
    <row r="1029" spans="1:8" hidden="1">
      <c r="A1029" s="5" t="s">
        <v>44</v>
      </c>
      <c r="H1029" s="5" t="s">
        <v>5</v>
      </c>
    </row>
    <row r="1030" spans="1:8" hidden="1">
      <c r="A1030" s="5" t="s">
        <v>45</v>
      </c>
      <c r="H1030" s="5" t="s">
        <v>5</v>
      </c>
    </row>
    <row r="1031" spans="1:8" hidden="1">
      <c r="A1031" s="5" t="s">
        <v>46</v>
      </c>
      <c r="H1031" s="5" t="s">
        <v>5</v>
      </c>
    </row>
    <row r="1032" spans="1:8" hidden="1">
      <c r="A1032" s="5" t="s">
        <v>47</v>
      </c>
      <c r="H1032" s="5" t="s">
        <v>5</v>
      </c>
    </row>
    <row r="1033" spans="1:8" hidden="1">
      <c r="A1033" s="5" t="s">
        <v>37</v>
      </c>
      <c r="H1033" s="5" t="s">
        <v>5</v>
      </c>
    </row>
    <row r="1034" spans="1:8" hidden="1">
      <c r="A1034" s="6"/>
      <c r="H1034" s="5" t="s">
        <v>5</v>
      </c>
    </row>
    <row r="1035" spans="1:8" hidden="1">
      <c r="A1035" s="5" t="s">
        <v>122</v>
      </c>
      <c r="H1035" s="5" t="s">
        <v>5</v>
      </c>
    </row>
    <row r="1036" spans="1:8" hidden="1">
      <c r="A1036" s="5" t="s">
        <v>123</v>
      </c>
      <c r="H1036" s="5" t="s">
        <v>5</v>
      </c>
    </row>
    <row r="1037" spans="1:8" hidden="1">
      <c r="A1037" s="6"/>
      <c r="H1037" s="5" t="s">
        <v>5</v>
      </c>
    </row>
    <row r="1038" spans="1:8" hidden="1">
      <c r="A1038" s="6"/>
      <c r="H1038" s="5" t="s">
        <v>5</v>
      </c>
    </row>
    <row r="1039" spans="1:8" hidden="1">
      <c r="A1039" s="5" t="s">
        <v>3</v>
      </c>
      <c r="H1039" s="5" t="s">
        <v>5</v>
      </c>
    </row>
    <row r="1040" spans="1:8" hidden="1">
      <c r="A1040" s="5" t="s">
        <v>4</v>
      </c>
      <c r="H1040" s="5" t="s">
        <v>5</v>
      </c>
    </row>
    <row r="1041" spans="1:8" hidden="1">
      <c r="A1041" s="5" t="s">
        <v>5</v>
      </c>
      <c r="H1041" s="5" t="s">
        <v>5</v>
      </c>
    </row>
    <row r="1042" spans="1:8" hidden="1">
      <c r="A1042" s="5" t="s">
        <v>6</v>
      </c>
      <c r="H1042" s="5" t="s">
        <v>5</v>
      </c>
    </row>
    <row r="1043" spans="1:8" hidden="1">
      <c r="A1043" s="5" t="s">
        <v>7</v>
      </c>
      <c r="H1043" s="5" t="s">
        <v>5</v>
      </c>
    </row>
    <row r="1044" spans="1:8" hidden="1">
      <c r="A1044" s="5" t="s">
        <v>6</v>
      </c>
      <c r="H1044" s="5" t="s">
        <v>5</v>
      </c>
    </row>
    <row r="1045" spans="1:8" hidden="1">
      <c r="A1045" s="5" t="s">
        <v>128</v>
      </c>
      <c r="H1045" s="5" t="s">
        <v>5</v>
      </c>
    </row>
    <row r="1046" spans="1:8" hidden="1">
      <c r="A1046" s="5" t="s">
        <v>129</v>
      </c>
      <c r="H1046" s="5" t="s">
        <v>5</v>
      </c>
    </row>
    <row r="1047" spans="1:8" hidden="1">
      <c r="A1047" s="6"/>
      <c r="H1047" s="5" t="s">
        <v>5</v>
      </c>
    </row>
    <row r="1048" spans="1:8" hidden="1">
      <c r="A1048" s="5" t="s">
        <v>130</v>
      </c>
      <c r="H1048" s="5" t="s">
        <v>5</v>
      </c>
    </row>
    <row r="1049" spans="1:8" hidden="1">
      <c r="A1049" s="5" t="s">
        <v>13</v>
      </c>
      <c r="H1049" s="5" t="s">
        <v>5</v>
      </c>
    </row>
    <row r="1050" spans="1:8" hidden="1">
      <c r="A1050" s="5" t="s">
        <v>131</v>
      </c>
      <c r="H1050" s="5" t="s">
        <v>5</v>
      </c>
    </row>
    <row r="1051" spans="1:8" hidden="1">
      <c r="A1051" s="5" t="s">
        <v>15</v>
      </c>
      <c r="H1051" s="5" t="s">
        <v>5</v>
      </c>
    </row>
    <row r="1052" spans="1:8" hidden="1">
      <c r="A1052" s="5" t="s">
        <v>6</v>
      </c>
      <c r="H1052" s="5" t="s">
        <v>5</v>
      </c>
    </row>
    <row r="1053" spans="1:8" hidden="1">
      <c r="A1053" s="5" t="s">
        <v>16</v>
      </c>
      <c r="H1053" s="5" t="s">
        <v>5</v>
      </c>
    </row>
    <row r="1054" spans="1:8" hidden="1">
      <c r="A1054" s="5" t="s">
        <v>17</v>
      </c>
      <c r="H1054" s="5" t="s">
        <v>5</v>
      </c>
    </row>
    <row r="1055" spans="1:8" hidden="1">
      <c r="A1055" s="6"/>
      <c r="H1055" s="5" t="s">
        <v>5</v>
      </c>
    </row>
    <row r="1056" spans="1:8" hidden="1">
      <c r="A1056" s="5" t="s">
        <v>18</v>
      </c>
      <c r="H1056" s="5" t="s">
        <v>5</v>
      </c>
    </row>
    <row r="1057" spans="1:8" hidden="1">
      <c r="A1057" s="7">
        <v>100000</v>
      </c>
      <c r="H1057" s="5" t="s">
        <v>5</v>
      </c>
    </row>
    <row r="1058" spans="1:8" hidden="1">
      <c r="A1058" s="6"/>
      <c r="H1058" s="5" t="s">
        <v>5</v>
      </c>
    </row>
    <row r="1059" spans="1:8" hidden="1">
      <c r="A1059" s="5" t="s">
        <v>19</v>
      </c>
      <c r="H1059" s="5" t="s">
        <v>5</v>
      </c>
    </row>
    <row r="1060" spans="1:8" hidden="1">
      <c r="A1060" s="5" t="s">
        <v>20</v>
      </c>
      <c r="H1060" s="5" t="s">
        <v>5</v>
      </c>
    </row>
    <row r="1061" spans="1:8" hidden="1">
      <c r="A1061" s="5" t="s">
        <v>21</v>
      </c>
      <c r="H1061" s="5" t="s">
        <v>5</v>
      </c>
    </row>
    <row r="1062" spans="1:8" hidden="1">
      <c r="A1062" s="5" t="s">
        <v>22</v>
      </c>
      <c r="H1062" s="5" t="s">
        <v>5</v>
      </c>
    </row>
    <row r="1063" spans="1:8" hidden="1">
      <c r="A1063" s="5" t="s">
        <v>23</v>
      </c>
      <c r="H1063" s="5" t="s">
        <v>5</v>
      </c>
    </row>
    <row r="1064" spans="1:8" hidden="1">
      <c r="A1064" s="5" t="s">
        <v>24</v>
      </c>
      <c r="H1064" s="5" t="s">
        <v>5</v>
      </c>
    </row>
    <row r="1065" spans="1:8" hidden="1">
      <c r="A1065" s="5" t="s">
        <v>25</v>
      </c>
      <c r="H1065" s="5" t="s">
        <v>5</v>
      </c>
    </row>
    <row r="1066" spans="1:8" hidden="1">
      <c r="A1066" s="5" t="s">
        <v>26</v>
      </c>
      <c r="H1066" s="5" t="s">
        <v>5</v>
      </c>
    </row>
    <row r="1067" spans="1:8" hidden="1">
      <c r="A1067" s="5" t="s">
        <v>27</v>
      </c>
      <c r="H1067" s="5" t="s">
        <v>5</v>
      </c>
    </row>
    <row r="1068" spans="1:8" hidden="1">
      <c r="A1068" s="5" t="s">
        <v>6</v>
      </c>
      <c r="H1068" s="5" t="s">
        <v>5</v>
      </c>
    </row>
    <row r="1069" spans="1:8" hidden="1">
      <c r="A1069" s="5" t="s">
        <v>28</v>
      </c>
      <c r="H1069" s="5" t="s">
        <v>5</v>
      </c>
    </row>
    <row r="1070" spans="1:8" hidden="1">
      <c r="A1070" s="5" t="s">
        <v>29</v>
      </c>
      <c r="H1070" s="5" t="s">
        <v>5</v>
      </c>
    </row>
    <row r="1071" spans="1:8" hidden="1">
      <c r="A1071" s="6"/>
      <c r="H1071" s="5" t="s">
        <v>5</v>
      </c>
    </row>
    <row r="1072" spans="1:8" hidden="1">
      <c r="A1072" s="6"/>
      <c r="H1072" s="5" t="s">
        <v>5</v>
      </c>
    </row>
    <row r="1073" spans="1:8" hidden="1">
      <c r="A1073" s="5" t="s">
        <v>6</v>
      </c>
      <c r="H1073" s="5" t="s">
        <v>5</v>
      </c>
    </row>
    <row r="1074" spans="1:8" hidden="1">
      <c r="A1074" s="5" t="s">
        <v>30</v>
      </c>
      <c r="H1074" s="5" t="s">
        <v>5</v>
      </c>
    </row>
    <row r="1075" spans="1:8" hidden="1">
      <c r="A1075" s="6"/>
      <c r="H1075" s="5" t="s">
        <v>5</v>
      </c>
    </row>
    <row r="1076" spans="1:8" hidden="1">
      <c r="A1076" s="5" t="s">
        <v>31</v>
      </c>
      <c r="H1076" s="5" t="s">
        <v>5</v>
      </c>
    </row>
    <row r="1077" spans="1:8" hidden="1">
      <c r="A1077" s="5" t="s">
        <v>32</v>
      </c>
      <c r="H1077" s="5" t="s">
        <v>5</v>
      </c>
    </row>
    <row r="1078" spans="1:8" hidden="1">
      <c r="A1078" s="5" t="s">
        <v>33</v>
      </c>
      <c r="H1078" s="5" t="s">
        <v>5</v>
      </c>
    </row>
    <row r="1079" spans="1:8" hidden="1">
      <c r="A1079" s="5" t="s">
        <v>34</v>
      </c>
      <c r="H1079" s="5" t="s">
        <v>5</v>
      </c>
    </row>
    <row r="1080" spans="1:8" hidden="1">
      <c r="A1080" s="5" t="s">
        <v>35</v>
      </c>
      <c r="H1080" s="5" t="s">
        <v>5</v>
      </c>
    </row>
    <row r="1081" spans="1:8" hidden="1">
      <c r="A1081" s="5" t="s">
        <v>36</v>
      </c>
      <c r="H1081" s="5" t="s">
        <v>5</v>
      </c>
    </row>
    <row r="1082" spans="1:8" hidden="1">
      <c r="A1082" s="5" t="s">
        <v>37</v>
      </c>
      <c r="H1082" s="5" t="s">
        <v>5</v>
      </c>
    </row>
    <row r="1083" spans="1:8" hidden="1">
      <c r="A1083" s="5" t="s">
        <v>38</v>
      </c>
      <c r="H1083" s="5" t="s">
        <v>5</v>
      </c>
    </row>
    <row r="1084" spans="1:8" hidden="1">
      <c r="A1084" s="5" t="s">
        <v>39</v>
      </c>
      <c r="H1084" s="5" t="s">
        <v>25</v>
      </c>
    </row>
    <row r="1085" spans="1:8" hidden="1">
      <c r="A1085" s="6"/>
      <c r="H1085" s="5" t="s">
        <v>25</v>
      </c>
    </row>
    <row r="1086" spans="1:8" hidden="1">
      <c r="A1086" s="5" t="s">
        <v>128</v>
      </c>
      <c r="H1086" s="5" t="s">
        <v>25</v>
      </c>
    </row>
    <row r="1087" spans="1:8" hidden="1">
      <c r="A1087" s="5" t="s">
        <v>129</v>
      </c>
      <c r="H1087" s="5" t="s">
        <v>25</v>
      </c>
    </row>
    <row r="1088" spans="1:8" hidden="1">
      <c r="A1088" s="6"/>
      <c r="H1088" s="5" t="s">
        <v>25</v>
      </c>
    </row>
    <row r="1089" spans="1:8" hidden="1">
      <c r="A1089" s="6"/>
      <c r="H1089" s="5" t="s">
        <v>25</v>
      </c>
    </row>
    <row r="1090" spans="1:8" hidden="1">
      <c r="A1090" s="6"/>
      <c r="H1090" s="5" t="s">
        <v>25</v>
      </c>
    </row>
    <row r="1091" spans="1:8" hidden="1">
      <c r="A1091" s="6"/>
      <c r="H1091" s="5" t="s">
        <v>25</v>
      </c>
    </row>
    <row r="1092" spans="1:8" hidden="1">
      <c r="A1092" s="5" t="s">
        <v>6</v>
      </c>
      <c r="H1092" s="5" t="s">
        <v>25</v>
      </c>
    </row>
    <row r="1093" spans="1:8" hidden="1">
      <c r="A1093" s="5" t="s">
        <v>40</v>
      </c>
      <c r="H1093" s="5" t="s">
        <v>25</v>
      </c>
    </row>
    <row r="1094" spans="1:8" hidden="1">
      <c r="A1094" s="6"/>
      <c r="H1094" s="5" t="s">
        <v>25</v>
      </c>
    </row>
    <row r="1095" spans="1:8" hidden="1">
      <c r="A1095" s="5" t="s">
        <v>41</v>
      </c>
      <c r="H1095" s="5" t="s">
        <v>25</v>
      </c>
    </row>
    <row r="1096" spans="1:8" hidden="1">
      <c r="A1096" s="6"/>
      <c r="H1096" s="5" t="s">
        <v>25</v>
      </c>
    </row>
    <row r="1097" spans="1:8" hidden="1">
      <c r="A1097" s="5" t="s">
        <v>42</v>
      </c>
      <c r="H1097" s="5" t="s">
        <v>25</v>
      </c>
    </row>
    <row r="1098" spans="1:8" hidden="1">
      <c r="A1098" s="6"/>
      <c r="H1098" s="5" t="s">
        <v>25</v>
      </c>
    </row>
    <row r="1099" spans="1:8" hidden="1">
      <c r="A1099" s="5" t="s">
        <v>43</v>
      </c>
      <c r="H1099" s="5" t="s">
        <v>25</v>
      </c>
    </row>
    <row r="1100" spans="1:8" hidden="1">
      <c r="A1100" s="5" t="s">
        <v>44</v>
      </c>
      <c r="H1100" s="5" t="s">
        <v>25</v>
      </c>
    </row>
    <row r="1101" spans="1:8" hidden="1">
      <c r="A1101" s="5" t="s">
        <v>45</v>
      </c>
      <c r="H1101" s="5" t="s">
        <v>25</v>
      </c>
    </row>
    <row r="1102" spans="1:8" hidden="1">
      <c r="A1102" s="5" t="s">
        <v>46</v>
      </c>
      <c r="H1102" s="5" t="s">
        <v>25</v>
      </c>
    </row>
    <row r="1103" spans="1:8" hidden="1">
      <c r="A1103" s="5" t="s">
        <v>47</v>
      </c>
      <c r="H1103" s="5" t="s">
        <v>25</v>
      </c>
    </row>
    <row r="1104" spans="1:8" hidden="1">
      <c r="A1104" s="5" t="s">
        <v>37</v>
      </c>
      <c r="H1104" s="5" t="s">
        <v>25</v>
      </c>
    </row>
    <row r="1105" spans="1:8" hidden="1">
      <c r="A1105" s="6"/>
      <c r="H1105" s="5" t="s">
        <v>25</v>
      </c>
    </row>
    <row r="1106" spans="1:8" hidden="1">
      <c r="A1106" s="5" t="s">
        <v>128</v>
      </c>
      <c r="H1106" s="5" t="s">
        <v>25</v>
      </c>
    </row>
    <row r="1107" spans="1:8" hidden="1">
      <c r="A1107" s="5" t="s">
        <v>129</v>
      </c>
      <c r="H1107" s="5" t="s">
        <v>25</v>
      </c>
    </row>
    <row r="1108" spans="1:8" hidden="1">
      <c r="A1108" s="6"/>
      <c r="H1108" s="5" t="s">
        <v>25</v>
      </c>
    </row>
    <row r="1109" spans="1:8" hidden="1">
      <c r="A1109" s="6"/>
      <c r="H1109" s="5" t="s">
        <v>25</v>
      </c>
    </row>
    <row r="1110" spans="1:8" hidden="1">
      <c r="A1110" s="5" t="s">
        <v>3</v>
      </c>
      <c r="H1110" s="5" t="s">
        <v>25</v>
      </c>
    </row>
    <row r="1111" spans="1:8" hidden="1">
      <c r="A1111" s="5" t="s">
        <v>4</v>
      </c>
      <c r="H1111" s="5" t="s">
        <v>25</v>
      </c>
    </row>
    <row r="1112" spans="1:8" hidden="1">
      <c r="A1112" s="5" t="s">
        <v>5</v>
      </c>
      <c r="H1112" s="5" t="s">
        <v>25</v>
      </c>
    </row>
    <row r="1113" spans="1:8" hidden="1">
      <c r="A1113" s="5" t="s">
        <v>6</v>
      </c>
      <c r="H1113" s="5" t="s">
        <v>25</v>
      </c>
    </row>
    <row r="1114" spans="1:8" hidden="1">
      <c r="A1114" s="5" t="s">
        <v>7</v>
      </c>
      <c r="H1114" s="5" t="s">
        <v>25</v>
      </c>
    </row>
    <row r="1115" spans="1:8" hidden="1">
      <c r="A1115" s="5" t="s">
        <v>6</v>
      </c>
      <c r="H1115" s="5" t="s">
        <v>25</v>
      </c>
    </row>
    <row r="1116" spans="1:8" hidden="1">
      <c r="A1116" s="5" t="s">
        <v>132</v>
      </c>
      <c r="H1116" s="5" t="s">
        <v>25</v>
      </c>
    </row>
    <row r="1117" spans="1:8" hidden="1">
      <c r="A1117" s="5" t="s">
        <v>133</v>
      </c>
      <c r="H1117" s="5" t="s">
        <v>25</v>
      </c>
    </row>
    <row r="1118" spans="1:8" hidden="1">
      <c r="A1118" s="6"/>
      <c r="H1118" s="5" t="s">
        <v>25</v>
      </c>
    </row>
    <row r="1119" spans="1:8" hidden="1">
      <c r="A1119" s="5" t="s">
        <v>82</v>
      </c>
      <c r="H1119" s="5" t="s">
        <v>25</v>
      </c>
    </row>
    <row r="1120" spans="1:8" hidden="1">
      <c r="A1120" s="5" t="s">
        <v>15</v>
      </c>
      <c r="H1120" s="5" t="s">
        <v>25</v>
      </c>
    </row>
    <row r="1121" spans="1:8" hidden="1">
      <c r="A1121" s="5" t="s">
        <v>6</v>
      </c>
      <c r="H1121" s="5" t="s">
        <v>25</v>
      </c>
    </row>
    <row r="1122" spans="1:8" hidden="1">
      <c r="A1122" s="5" t="s">
        <v>83</v>
      </c>
      <c r="H1122" s="5" t="s">
        <v>25</v>
      </c>
    </row>
    <row r="1123" spans="1:8" hidden="1">
      <c r="A1123" s="5" t="s">
        <v>17</v>
      </c>
      <c r="H1123" s="5" t="s">
        <v>25</v>
      </c>
    </row>
    <row r="1124" spans="1:8" hidden="1">
      <c r="A1124" s="5" t="s">
        <v>84</v>
      </c>
      <c r="H1124" s="5" t="s">
        <v>25</v>
      </c>
    </row>
    <row r="1125" spans="1:8" hidden="1">
      <c r="A1125" s="6"/>
      <c r="H1125" s="5" t="s">
        <v>25</v>
      </c>
    </row>
    <row r="1126" spans="1:8" hidden="1">
      <c r="A1126" s="5" t="s">
        <v>19</v>
      </c>
      <c r="H1126" s="5" t="s">
        <v>25</v>
      </c>
    </row>
    <row r="1127" spans="1:8" hidden="1">
      <c r="A1127" s="5" t="s">
        <v>20</v>
      </c>
      <c r="H1127" s="5" t="s">
        <v>25</v>
      </c>
    </row>
    <row r="1128" spans="1:8" hidden="1">
      <c r="A1128" s="5" t="s">
        <v>21</v>
      </c>
      <c r="H1128" s="5" t="s">
        <v>25</v>
      </c>
    </row>
    <row r="1129" spans="1:8" hidden="1">
      <c r="A1129" s="5" t="s">
        <v>22</v>
      </c>
      <c r="H1129" s="5" t="s">
        <v>25</v>
      </c>
    </row>
    <row r="1130" spans="1:8" hidden="1">
      <c r="A1130" s="5" t="s">
        <v>23</v>
      </c>
      <c r="H1130" s="5" t="s">
        <v>25</v>
      </c>
    </row>
    <row r="1131" spans="1:8" hidden="1">
      <c r="A1131" s="5" t="s">
        <v>24</v>
      </c>
      <c r="H1131" s="5" t="s">
        <v>25</v>
      </c>
    </row>
    <row r="1132" spans="1:8" hidden="1">
      <c r="A1132" s="5" t="s">
        <v>25</v>
      </c>
      <c r="H1132" s="5" t="s">
        <v>25</v>
      </c>
    </row>
    <row r="1133" spans="1:8" hidden="1">
      <c r="A1133" s="5" t="s">
        <v>26</v>
      </c>
      <c r="H1133" s="5" t="s">
        <v>25</v>
      </c>
    </row>
    <row r="1134" spans="1:8" hidden="1">
      <c r="A1134" s="5" t="s">
        <v>27</v>
      </c>
      <c r="H1134" s="5" t="s">
        <v>25</v>
      </c>
    </row>
    <row r="1135" spans="1:8" hidden="1">
      <c r="A1135" s="5" t="s">
        <v>6</v>
      </c>
      <c r="H1135" s="5" t="s">
        <v>25</v>
      </c>
    </row>
    <row r="1136" spans="1:8" hidden="1">
      <c r="A1136" s="5" t="s">
        <v>28</v>
      </c>
      <c r="H1136" s="5" t="s">
        <v>25</v>
      </c>
    </row>
    <row r="1137" spans="1:8" hidden="1">
      <c r="A1137" s="5" t="s">
        <v>29</v>
      </c>
      <c r="H1137" s="5" t="s">
        <v>25</v>
      </c>
    </row>
    <row r="1138" spans="1:8" hidden="1">
      <c r="A1138" s="6"/>
      <c r="H1138" s="5" t="s">
        <v>25</v>
      </c>
    </row>
    <row r="1139" spans="1:8" hidden="1">
      <c r="A1139" s="6"/>
      <c r="H1139" s="5" t="s">
        <v>25</v>
      </c>
    </row>
    <row r="1140" spans="1:8" hidden="1">
      <c r="A1140" s="5" t="s">
        <v>6</v>
      </c>
      <c r="H1140" s="5" t="s">
        <v>25</v>
      </c>
    </row>
    <row r="1141" spans="1:8" hidden="1">
      <c r="A1141" s="5" t="s">
        <v>30</v>
      </c>
      <c r="H1141" s="5" t="s">
        <v>25</v>
      </c>
    </row>
    <row r="1142" spans="1:8" hidden="1">
      <c r="A1142" s="6"/>
      <c r="H1142" s="5" t="s">
        <v>25</v>
      </c>
    </row>
    <row r="1143" spans="1:8" hidden="1">
      <c r="A1143" s="5" t="s">
        <v>31</v>
      </c>
      <c r="H1143" s="5" t="s">
        <v>25</v>
      </c>
    </row>
    <row r="1144" spans="1:8" hidden="1">
      <c r="A1144" s="5" t="s">
        <v>32</v>
      </c>
      <c r="H1144" s="5" t="s">
        <v>25</v>
      </c>
    </row>
    <row r="1145" spans="1:8" hidden="1">
      <c r="A1145" s="5" t="s">
        <v>33</v>
      </c>
      <c r="H1145" s="5" t="s">
        <v>25</v>
      </c>
    </row>
    <row r="1146" spans="1:8" hidden="1">
      <c r="A1146" s="5" t="s">
        <v>34</v>
      </c>
      <c r="H1146" s="5" t="s">
        <v>25</v>
      </c>
    </row>
    <row r="1147" spans="1:8" hidden="1">
      <c r="A1147" s="5" t="s">
        <v>35</v>
      </c>
      <c r="H1147" s="5" t="s">
        <v>25</v>
      </c>
    </row>
    <row r="1148" spans="1:8" hidden="1">
      <c r="A1148" s="5" t="s">
        <v>36</v>
      </c>
      <c r="H1148" s="5" t="s">
        <v>25</v>
      </c>
    </row>
    <row r="1149" spans="1:8" hidden="1">
      <c r="A1149" s="5" t="s">
        <v>37</v>
      </c>
      <c r="H1149" s="5" t="s">
        <v>234</v>
      </c>
    </row>
    <row r="1150" spans="1:8" hidden="1">
      <c r="A1150" s="5" t="s">
        <v>38</v>
      </c>
      <c r="H1150" s="5" t="s">
        <v>96</v>
      </c>
    </row>
    <row r="1151" spans="1:8" hidden="1">
      <c r="A1151" s="5" t="s">
        <v>39</v>
      </c>
      <c r="H1151" s="5" t="s">
        <v>83</v>
      </c>
    </row>
    <row r="1152" spans="1:8" hidden="1">
      <c r="A1152" s="6"/>
      <c r="H1152" s="5" t="s">
        <v>83</v>
      </c>
    </row>
    <row r="1153" spans="1:8" hidden="1">
      <c r="A1153" s="5" t="s">
        <v>132</v>
      </c>
      <c r="H1153" s="5" t="s">
        <v>83</v>
      </c>
    </row>
    <row r="1154" spans="1:8" hidden="1">
      <c r="A1154" s="5" t="s">
        <v>133</v>
      </c>
      <c r="H1154" s="5" t="s">
        <v>83</v>
      </c>
    </row>
    <row r="1155" spans="1:8" hidden="1">
      <c r="A1155" s="6"/>
      <c r="H1155" s="5" t="s">
        <v>251</v>
      </c>
    </row>
    <row r="1156" spans="1:8" hidden="1">
      <c r="A1156" s="6"/>
      <c r="H1156" s="5" t="s">
        <v>110</v>
      </c>
    </row>
    <row r="1157" spans="1:8" hidden="1">
      <c r="A1157" s="5" t="s">
        <v>3</v>
      </c>
      <c r="H1157" s="5" t="s">
        <v>110</v>
      </c>
    </row>
    <row r="1158" spans="1:8" hidden="1">
      <c r="A1158" s="5" t="s">
        <v>4</v>
      </c>
      <c r="H1158" s="5" t="s">
        <v>110</v>
      </c>
    </row>
    <row r="1159" spans="1:8" hidden="1">
      <c r="A1159" s="5" t="s">
        <v>5</v>
      </c>
      <c r="H1159" s="5" t="s">
        <v>110</v>
      </c>
    </row>
    <row r="1160" spans="1:8" hidden="1">
      <c r="A1160" s="5" t="s">
        <v>6</v>
      </c>
      <c r="H1160" s="5" t="s">
        <v>110</v>
      </c>
    </row>
    <row r="1161" spans="1:8" hidden="1">
      <c r="A1161" s="5" t="s">
        <v>7</v>
      </c>
      <c r="H1161" s="5" t="s">
        <v>110</v>
      </c>
    </row>
    <row r="1162" spans="1:8" hidden="1">
      <c r="A1162" s="5" t="s">
        <v>6</v>
      </c>
      <c r="H1162" s="5" t="s">
        <v>110</v>
      </c>
    </row>
    <row r="1163" spans="1:8" hidden="1">
      <c r="A1163" s="5" t="s">
        <v>134</v>
      </c>
      <c r="H1163" s="5" t="s">
        <v>110</v>
      </c>
    </row>
    <row r="1164" spans="1:8" hidden="1">
      <c r="A1164" s="5" t="s">
        <v>135</v>
      </c>
      <c r="H1164" s="5" t="s">
        <v>100</v>
      </c>
    </row>
    <row r="1165" spans="1:8" hidden="1">
      <c r="A1165" s="6"/>
      <c r="H1165" s="5" t="s">
        <v>100</v>
      </c>
    </row>
    <row r="1166" spans="1:8" hidden="1">
      <c r="A1166" s="5" t="s">
        <v>12</v>
      </c>
      <c r="H1166" s="5" t="s">
        <v>284</v>
      </c>
    </row>
    <row r="1167" spans="1:8" hidden="1">
      <c r="A1167" s="5" t="s">
        <v>13</v>
      </c>
      <c r="H1167" s="5" t="s">
        <v>284</v>
      </c>
    </row>
    <row r="1168" spans="1:8" hidden="1">
      <c r="A1168" s="5" t="s">
        <v>131</v>
      </c>
      <c r="H1168" s="5" t="s">
        <v>355</v>
      </c>
    </row>
    <row r="1169" spans="1:8" hidden="1">
      <c r="A1169" s="5" t="s">
        <v>15</v>
      </c>
      <c r="H1169" s="5" t="s">
        <v>51</v>
      </c>
    </row>
    <row r="1170" spans="1:8" hidden="1">
      <c r="A1170" s="5" t="s">
        <v>6</v>
      </c>
      <c r="H1170" s="5" t="s">
        <v>51</v>
      </c>
    </row>
    <row r="1171" spans="1:8" hidden="1">
      <c r="A1171" s="5" t="s">
        <v>16</v>
      </c>
      <c r="H1171" s="5" t="s">
        <v>51</v>
      </c>
    </row>
    <row r="1172" spans="1:8" hidden="1">
      <c r="A1172" s="5" t="s">
        <v>17</v>
      </c>
      <c r="H1172" s="5" t="s">
        <v>51</v>
      </c>
    </row>
    <row r="1173" spans="1:8" hidden="1">
      <c r="A1173" s="6"/>
      <c r="H1173" s="5" t="s">
        <v>182</v>
      </c>
    </row>
    <row r="1174" spans="1:8" hidden="1">
      <c r="A1174" s="5" t="s">
        <v>18</v>
      </c>
      <c r="H1174" s="5" t="s">
        <v>91</v>
      </c>
    </row>
    <row r="1175" spans="1:8" hidden="1">
      <c r="A1175" s="7">
        <v>100000</v>
      </c>
      <c r="H1175" s="5" t="s">
        <v>91</v>
      </c>
    </row>
    <row r="1176" spans="1:8" hidden="1">
      <c r="A1176" s="6"/>
      <c r="H1176" s="5" t="s">
        <v>91</v>
      </c>
    </row>
    <row r="1177" spans="1:8" hidden="1">
      <c r="A1177" s="5" t="s">
        <v>19</v>
      </c>
      <c r="H1177" s="5" t="s">
        <v>91</v>
      </c>
    </row>
    <row r="1178" spans="1:8" hidden="1">
      <c r="A1178" s="5" t="s">
        <v>20</v>
      </c>
      <c r="H1178" s="5" t="s">
        <v>91</v>
      </c>
    </row>
    <row r="1179" spans="1:8" hidden="1">
      <c r="A1179" s="5" t="s">
        <v>21</v>
      </c>
      <c r="H1179" s="5" t="s">
        <v>91</v>
      </c>
    </row>
    <row r="1180" spans="1:8" hidden="1">
      <c r="A1180" s="5" t="s">
        <v>22</v>
      </c>
      <c r="H1180" s="5" t="s">
        <v>91</v>
      </c>
    </row>
    <row r="1181" spans="1:8" hidden="1">
      <c r="A1181" s="5" t="s">
        <v>23</v>
      </c>
      <c r="H1181" s="5" t="s">
        <v>91</v>
      </c>
    </row>
    <row r="1182" spans="1:8" hidden="1">
      <c r="A1182" s="5" t="s">
        <v>24</v>
      </c>
      <c r="H1182" s="5" t="s">
        <v>91</v>
      </c>
    </row>
    <row r="1183" spans="1:8" hidden="1">
      <c r="A1183" s="5" t="s">
        <v>25</v>
      </c>
      <c r="H1183" s="5" t="s">
        <v>91</v>
      </c>
    </row>
    <row r="1184" spans="1:8" hidden="1">
      <c r="A1184" s="5" t="s">
        <v>26</v>
      </c>
      <c r="H1184" s="5" t="s">
        <v>91</v>
      </c>
    </row>
    <row r="1185" spans="1:8" hidden="1">
      <c r="A1185" s="5" t="s">
        <v>27</v>
      </c>
      <c r="H1185" s="5" t="s">
        <v>91</v>
      </c>
    </row>
    <row r="1186" spans="1:8" hidden="1">
      <c r="A1186" s="5" t="s">
        <v>6</v>
      </c>
      <c r="H1186" s="5" t="s">
        <v>91</v>
      </c>
    </row>
    <row r="1187" spans="1:8" hidden="1">
      <c r="A1187" s="5" t="s">
        <v>28</v>
      </c>
      <c r="H1187" s="5" t="s">
        <v>264</v>
      </c>
    </row>
    <row r="1188" spans="1:8" hidden="1">
      <c r="A1188" s="5" t="s">
        <v>29</v>
      </c>
      <c r="H1188" s="5" t="s">
        <v>175</v>
      </c>
    </row>
    <row r="1189" spans="1:8" hidden="1">
      <c r="A1189" s="6"/>
      <c r="H1189" s="5" t="s">
        <v>16</v>
      </c>
    </row>
    <row r="1190" spans="1:8" hidden="1">
      <c r="A1190" s="6"/>
      <c r="H1190" s="5" t="s">
        <v>16</v>
      </c>
    </row>
    <row r="1191" spans="1:8" hidden="1">
      <c r="A1191" s="5" t="s">
        <v>6</v>
      </c>
      <c r="H1191" s="5" t="s">
        <v>16</v>
      </c>
    </row>
    <row r="1192" spans="1:8" hidden="1">
      <c r="A1192" s="5" t="s">
        <v>30</v>
      </c>
      <c r="H1192" s="5" t="s">
        <v>16</v>
      </c>
    </row>
    <row r="1193" spans="1:8" hidden="1">
      <c r="A1193" s="6"/>
      <c r="H1193" s="5" t="s">
        <v>16</v>
      </c>
    </row>
    <row r="1194" spans="1:8" hidden="1">
      <c r="A1194" s="5" t="s">
        <v>31</v>
      </c>
      <c r="H1194" s="5" t="s">
        <v>16</v>
      </c>
    </row>
    <row r="1195" spans="1:8" hidden="1">
      <c r="A1195" s="5" t="s">
        <v>32</v>
      </c>
      <c r="H1195" s="5" t="s">
        <v>16</v>
      </c>
    </row>
    <row r="1196" spans="1:8" hidden="1">
      <c r="A1196" s="5" t="s">
        <v>33</v>
      </c>
      <c r="H1196" s="5" t="s">
        <v>16</v>
      </c>
    </row>
    <row r="1197" spans="1:8" hidden="1">
      <c r="A1197" s="5" t="s">
        <v>34</v>
      </c>
      <c r="H1197" s="5" t="s">
        <v>153</v>
      </c>
    </row>
    <row r="1198" spans="1:8" hidden="1">
      <c r="A1198" s="5" t="s">
        <v>35</v>
      </c>
      <c r="H1198" s="5" t="s">
        <v>153</v>
      </c>
    </row>
    <row r="1199" spans="1:8" hidden="1">
      <c r="A1199" s="5" t="s">
        <v>36</v>
      </c>
      <c r="H1199" s="5" t="s">
        <v>126</v>
      </c>
    </row>
    <row r="1200" spans="1:8" hidden="1">
      <c r="A1200" s="5" t="s">
        <v>37</v>
      </c>
      <c r="H1200" s="5" t="s">
        <v>346</v>
      </c>
    </row>
    <row r="1201" spans="1:8" hidden="1">
      <c r="A1201" s="5" t="s">
        <v>38</v>
      </c>
      <c r="H1201" s="5" t="s">
        <v>62</v>
      </c>
    </row>
    <row r="1202" spans="1:8" hidden="1">
      <c r="A1202" s="5" t="s">
        <v>39</v>
      </c>
      <c r="H1202" s="5" t="s">
        <v>365</v>
      </c>
    </row>
    <row r="1203" spans="1:8" hidden="1">
      <c r="A1203" s="6"/>
      <c r="H1203" s="5" t="s">
        <v>73</v>
      </c>
    </row>
    <row r="1204" spans="1:8" hidden="1">
      <c r="A1204" s="5" t="s">
        <v>134</v>
      </c>
      <c r="H1204" s="5" t="s">
        <v>208</v>
      </c>
    </row>
    <row r="1205" spans="1:8" hidden="1">
      <c r="A1205" s="5" t="s">
        <v>135</v>
      </c>
      <c r="H1205" s="5" t="s">
        <v>334</v>
      </c>
    </row>
    <row r="1206" spans="1:8" hidden="1">
      <c r="A1206" s="6"/>
      <c r="H1206" s="5" t="s">
        <v>166</v>
      </c>
    </row>
    <row r="1207" spans="1:8" hidden="1">
      <c r="A1207" s="6"/>
      <c r="H1207" s="5" t="s">
        <v>248</v>
      </c>
    </row>
    <row r="1208" spans="1:8" hidden="1">
      <c r="A1208" s="6"/>
      <c r="H1208" s="5" t="s">
        <v>146</v>
      </c>
    </row>
    <row r="1209" spans="1:8" hidden="1">
      <c r="A1209" s="6"/>
      <c r="H1209" s="5" t="s">
        <v>377</v>
      </c>
    </row>
    <row r="1210" spans="1:8" hidden="1">
      <c r="A1210" s="5" t="s">
        <v>6</v>
      </c>
      <c r="H1210" s="5" t="s">
        <v>397</v>
      </c>
    </row>
    <row r="1211" spans="1:8" hidden="1">
      <c r="A1211" s="5" t="s">
        <v>40</v>
      </c>
      <c r="H1211" s="5" t="s">
        <v>296</v>
      </c>
    </row>
    <row r="1212" spans="1:8" hidden="1">
      <c r="A1212" s="6"/>
      <c r="H1212" s="5" t="s">
        <v>276</v>
      </c>
    </row>
    <row r="1213" spans="1:8" hidden="1">
      <c r="A1213" s="5" t="s">
        <v>41</v>
      </c>
      <c r="H1213" s="5" t="s">
        <v>40</v>
      </c>
    </row>
    <row r="1214" spans="1:8" hidden="1">
      <c r="A1214" s="6"/>
      <c r="H1214" s="5" t="s">
        <v>40</v>
      </c>
    </row>
    <row r="1215" spans="1:8" hidden="1">
      <c r="A1215" s="5" t="s">
        <v>42</v>
      </c>
      <c r="H1215" s="5" t="s">
        <v>40</v>
      </c>
    </row>
    <row r="1216" spans="1:8" hidden="1">
      <c r="A1216" s="6"/>
      <c r="H1216" s="5" t="s">
        <v>40</v>
      </c>
    </row>
    <row r="1217" spans="1:8" hidden="1">
      <c r="A1217" s="5" t="s">
        <v>43</v>
      </c>
      <c r="H1217" s="5" t="s">
        <v>40</v>
      </c>
    </row>
    <row r="1218" spans="1:8" hidden="1">
      <c r="A1218" s="5" t="s">
        <v>44</v>
      </c>
      <c r="H1218" s="5" t="s">
        <v>40</v>
      </c>
    </row>
    <row r="1219" spans="1:8" hidden="1">
      <c r="A1219" s="5" t="s">
        <v>45</v>
      </c>
      <c r="H1219" s="5" t="s">
        <v>40</v>
      </c>
    </row>
    <row r="1220" spans="1:8" hidden="1">
      <c r="A1220" s="5" t="s">
        <v>46</v>
      </c>
      <c r="H1220" s="5" t="s">
        <v>40</v>
      </c>
    </row>
    <row r="1221" spans="1:8" hidden="1">
      <c r="A1221" s="5" t="s">
        <v>47</v>
      </c>
      <c r="H1221" s="5" t="s">
        <v>40</v>
      </c>
    </row>
    <row r="1222" spans="1:8" hidden="1">
      <c r="A1222" s="5" t="s">
        <v>37</v>
      </c>
      <c r="H1222" s="5" t="s">
        <v>40</v>
      </c>
    </row>
    <row r="1223" spans="1:8" hidden="1">
      <c r="A1223" s="6"/>
      <c r="H1223" s="5" t="s">
        <v>40</v>
      </c>
    </row>
    <row r="1224" spans="1:8" hidden="1">
      <c r="A1224" s="5" t="s">
        <v>134</v>
      </c>
      <c r="H1224" s="5" t="s">
        <v>40</v>
      </c>
    </row>
    <row r="1225" spans="1:8" hidden="1">
      <c r="A1225" s="5" t="s">
        <v>135</v>
      </c>
      <c r="H1225" s="5" t="s">
        <v>40</v>
      </c>
    </row>
    <row r="1226" spans="1:8" hidden="1">
      <c r="A1226" s="6"/>
      <c r="H1226" s="5" t="s">
        <v>40</v>
      </c>
    </row>
    <row r="1227" spans="1:8" hidden="1">
      <c r="A1227" s="6"/>
      <c r="H1227" s="5" t="s">
        <v>40</v>
      </c>
    </row>
    <row r="1228" spans="1:8" hidden="1">
      <c r="A1228" s="5" t="s">
        <v>3</v>
      </c>
      <c r="H1228" s="5" t="s">
        <v>40</v>
      </c>
    </row>
    <row r="1229" spans="1:8" hidden="1">
      <c r="A1229" s="5" t="s">
        <v>4</v>
      </c>
      <c r="H1229" s="5" t="s">
        <v>40</v>
      </c>
    </row>
    <row r="1230" spans="1:8" hidden="1">
      <c r="A1230" s="5" t="s">
        <v>5</v>
      </c>
      <c r="H1230" s="5" t="s">
        <v>40</v>
      </c>
    </row>
    <row r="1231" spans="1:8" hidden="1">
      <c r="A1231" s="5" t="s">
        <v>6</v>
      </c>
      <c r="H1231" s="5" t="s">
        <v>40</v>
      </c>
    </row>
    <row r="1232" spans="1:8" hidden="1">
      <c r="A1232" s="5" t="s">
        <v>7</v>
      </c>
      <c r="H1232" s="5" t="s">
        <v>40</v>
      </c>
    </row>
    <row r="1233" spans="1:8" hidden="1">
      <c r="A1233" s="5" t="s">
        <v>6</v>
      </c>
      <c r="H1233" s="5" t="s">
        <v>40</v>
      </c>
    </row>
    <row r="1234" spans="1:8" hidden="1">
      <c r="A1234" s="5" t="s">
        <v>136</v>
      </c>
      <c r="H1234" s="5" t="s">
        <v>40</v>
      </c>
    </row>
    <row r="1235" spans="1:8" hidden="1">
      <c r="A1235" s="5" t="s">
        <v>137</v>
      </c>
      <c r="H1235" s="5" t="s">
        <v>40</v>
      </c>
    </row>
    <row r="1236" spans="1:8" hidden="1">
      <c r="A1236" s="6"/>
      <c r="H1236" s="5" t="s">
        <v>40</v>
      </c>
    </row>
    <row r="1237" spans="1:8" hidden="1">
      <c r="A1237" s="5" t="s">
        <v>138</v>
      </c>
      <c r="H1237" s="5" t="s">
        <v>40</v>
      </c>
    </row>
    <row r="1238" spans="1:8" hidden="1">
      <c r="A1238" s="5" t="s">
        <v>15</v>
      </c>
      <c r="H1238" s="5" t="s">
        <v>40</v>
      </c>
    </row>
    <row r="1239" spans="1:8" hidden="1">
      <c r="A1239" s="5" t="s">
        <v>6</v>
      </c>
      <c r="H1239" s="5" t="s">
        <v>40</v>
      </c>
    </row>
    <row r="1240" spans="1:8" hidden="1">
      <c r="A1240" s="5" t="s">
        <v>91</v>
      </c>
      <c r="H1240" s="5" t="s">
        <v>40</v>
      </c>
    </row>
    <row r="1241" spans="1:8" hidden="1">
      <c r="A1241" s="5" t="s">
        <v>63</v>
      </c>
      <c r="H1241" s="5" t="s">
        <v>40</v>
      </c>
    </row>
    <row r="1242" spans="1:8" hidden="1">
      <c r="A1242" s="5" t="s">
        <v>92</v>
      </c>
      <c r="H1242" s="5" t="s">
        <v>40</v>
      </c>
    </row>
    <row r="1243" spans="1:8" hidden="1">
      <c r="A1243" s="6"/>
      <c r="H1243" s="5" t="s">
        <v>40</v>
      </c>
    </row>
    <row r="1244" spans="1:8" hidden="1">
      <c r="A1244" s="5" t="s">
        <v>19</v>
      </c>
      <c r="H1244" s="5" t="s">
        <v>40</v>
      </c>
    </row>
    <row r="1245" spans="1:8" hidden="1">
      <c r="A1245" s="5" t="s">
        <v>20</v>
      </c>
      <c r="H1245" s="5" t="s">
        <v>40</v>
      </c>
    </row>
    <row r="1246" spans="1:8" hidden="1">
      <c r="A1246" s="5" t="s">
        <v>21</v>
      </c>
      <c r="H1246" s="5" t="s">
        <v>40</v>
      </c>
    </row>
    <row r="1247" spans="1:8" hidden="1">
      <c r="A1247" s="5" t="s">
        <v>22</v>
      </c>
      <c r="H1247" s="5" t="s">
        <v>40</v>
      </c>
    </row>
    <row r="1248" spans="1:8" hidden="1">
      <c r="A1248" s="5" t="s">
        <v>23</v>
      </c>
      <c r="H1248" s="5" t="s">
        <v>40</v>
      </c>
    </row>
    <row r="1249" spans="1:8" hidden="1">
      <c r="A1249" s="5" t="s">
        <v>24</v>
      </c>
      <c r="H1249" s="5" t="s">
        <v>40</v>
      </c>
    </row>
    <row r="1250" spans="1:8" hidden="1">
      <c r="A1250" s="5" t="s">
        <v>25</v>
      </c>
      <c r="H1250" s="5" t="s">
        <v>40</v>
      </c>
    </row>
    <row r="1251" spans="1:8" hidden="1">
      <c r="A1251" s="5" t="s">
        <v>26</v>
      </c>
      <c r="H1251" s="5" t="s">
        <v>40</v>
      </c>
    </row>
    <row r="1252" spans="1:8" hidden="1">
      <c r="A1252" s="5" t="s">
        <v>27</v>
      </c>
      <c r="H1252" s="5" t="s">
        <v>40</v>
      </c>
    </row>
    <row r="1253" spans="1:8" hidden="1">
      <c r="A1253" s="5" t="s">
        <v>6</v>
      </c>
      <c r="H1253" s="5" t="s">
        <v>40</v>
      </c>
    </row>
    <row r="1254" spans="1:8" hidden="1">
      <c r="A1254" s="5" t="s">
        <v>28</v>
      </c>
      <c r="H1254" s="5" t="s">
        <v>40</v>
      </c>
    </row>
    <row r="1255" spans="1:8" hidden="1">
      <c r="A1255" s="5" t="s">
        <v>29</v>
      </c>
      <c r="H1255" s="5" t="s">
        <v>40</v>
      </c>
    </row>
    <row r="1256" spans="1:8" hidden="1">
      <c r="A1256" s="6"/>
      <c r="H1256" s="5" t="s">
        <v>40</v>
      </c>
    </row>
    <row r="1257" spans="1:8" hidden="1">
      <c r="A1257" s="6"/>
      <c r="H1257" s="5" t="s">
        <v>40</v>
      </c>
    </row>
    <row r="1258" spans="1:8" hidden="1">
      <c r="A1258" s="5" t="s">
        <v>6</v>
      </c>
      <c r="H1258" s="5" t="s">
        <v>40</v>
      </c>
    </row>
    <row r="1259" spans="1:8" hidden="1">
      <c r="A1259" s="5" t="s">
        <v>30</v>
      </c>
      <c r="H1259" s="5" t="s">
        <v>40</v>
      </c>
    </row>
    <row r="1260" spans="1:8" hidden="1">
      <c r="A1260" s="6"/>
      <c r="H1260" s="5" t="s">
        <v>299</v>
      </c>
    </row>
    <row r="1261" spans="1:8" hidden="1">
      <c r="A1261" s="5" t="s">
        <v>31</v>
      </c>
      <c r="H1261" s="5" t="s">
        <v>4</v>
      </c>
    </row>
    <row r="1262" spans="1:8" hidden="1">
      <c r="A1262" s="5" t="s">
        <v>32</v>
      </c>
      <c r="H1262" s="5" t="s">
        <v>4</v>
      </c>
    </row>
    <row r="1263" spans="1:8" hidden="1">
      <c r="A1263" s="5" t="s">
        <v>33</v>
      </c>
      <c r="H1263" s="5" t="s">
        <v>4</v>
      </c>
    </row>
    <row r="1264" spans="1:8" hidden="1">
      <c r="A1264" s="5" t="s">
        <v>34</v>
      </c>
      <c r="H1264" s="5" t="s">
        <v>4</v>
      </c>
    </row>
    <row r="1265" spans="1:8" hidden="1">
      <c r="A1265" s="5" t="s">
        <v>35</v>
      </c>
      <c r="H1265" s="5" t="s">
        <v>4</v>
      </c>
    </row>
    <row r="1266" spans="1:8" hidden="1">
      <c r="A1266" s="5" t="s">
        <v>36</v>
      </c>
      <c r="H1266" s="5" t="s">
        <v>4</v>
      </c>
    </row>
    <row r="1267" spans="1:8" hidden="1">
      <c r="A1267" s="5" t="s">
        <v>37</v>
      </c>
      <c r="H1267" s="5" t="s">
        <v>4</v>
      </c>
    </row>
    <row r="1268" spans="1:8" hidden="1">
      <c r="A1268" s="5" t="s">
        <v>38</v>
      </c>
      <c r="H1268" s="5" t="s">
        <v>4</v>
      </c>
    </row>
    <row r="1269" spans="1:8" hidden="1">
      <c r="A1269" s="5" t="s">
        <v>39</v>
      </c>
      <c r="H1269" s="5" t="s">
        <v>4</v>
      </c>
    </row>
    <row r="1270" spans="1:8" hidden="1">
      <c r="A1270" s="6"/>
      <c r="H1270" s="5" t="s">
        <v>4</v>
      </c>
    </row>
    <row r="1271" spans="1:8" hidden="1">
      <c r="A1271" s="5" t="s">
        <v>136</v>
      </c>
      <c r="H1271" s="5" t="s">
        <v>4</v>
      </c>
    </row>
    <row r="1272" spans="1:8" hidden="1">
      <c r="A1272" s="5" t="s">
        <v>137</v>
      </c>
      <c r="H1272" s="5" t="s">
        <v>4</v>
      </c>
    </row>
    <row r="1273" spans="1:8" hidden="1">
      <c r="A1273" s="6"/>
      <c r="H1273" s="5" t="s">
        <v>4</v>
      </c>
    </row>
    <row r="1274" spans="1:8" hidden="1">
      <c r="A1274" s="6"/>
      <c r="H1274" s="5" t="s">
        <v>4</v>
      </c>
    </row>
    <row r="1275" spans="1:8" hidden="1">
      <c r="A1275" s="6"/>
      <c r="H1275" s="5" t="s">
        <v>4</v>
      </c>
    </row>
    <row r="1276" spans="1:8" hidden="1">
      <c r="A1276" s="6"/>
      <c r="H1276" s="5" t="s">
        <v>4</v>
      </c>
    </row>
    <row r="1277" spans="1:8" hidden="1">
      <c r="A1277" s="5" t="s">
        <v>6</v>
      </c>
      <c r="H1277" s="5" t="s">
        <v>4</v>
      </c>
    </row>
    <row r="1278" spans="1:8" hidden="1">
      <c r="A1278" s="5" t="s">
        <v>40</v>
      </c>
      <c r="H1278" s="5" t="s">
        <v>4</v>
      </c>
    </row>
    <row r="1279" spans="1:8" hidden="1">
      <c r="A1279" s="6"/>
      <c r="H1279" s="5" t="s">
        <v>4</v>
      </c>
    </row>
    <row r="1280" spans="1:8" hidden="1">
      <c r="A1280" s="5" t="s">
        <v>41</v>
      </c>
      <c r="H1280" s="5" t="s">
        <v>4</v>
      </c>
    </row>
    <row r="1281" spans="1:8" hidden="1">
      <c r="A1281" s="6"/>
      <c r="H1281" s="5" t="s">
        <v>4</v>
      </c>
    </row>
    <row r="1282" spans="1:8" hidden="1">
      <c r="A1282" s="5" t="s">
        <v>42</v>
      </c>
      <c r="H1282" s="5" t="s">
        <v>4</v>
      </c>
    </row>
    <row r="1283" spans="1:8" hidden="1">
      <c r="A1283" s="6"/>
      <c r="H1283" s="5" t="s">
        <v>4</v>
      </c>
    </row>
    <row r="1284" spans="1:8" hidden="1">
      <c r="A1284" s="5" t="s">
        <v>43</v>
      </c>
      <c r="H1284" s="5" t="s">
        <v>4</v>
      </c>
    </row>
    <row r="1285" spans="1:8" hidden="1">
      <c r="A1285" s="5" t="s">
        <v>44</v>
      </c>
      <c r="H1285" s="5" t="s">
        <v>4</v>
      </c>
    </row>
    <row r="1286" spans="1:8" hidden="1">
      <c r="A1286" s="5" t="s">
        <v>45</v>
      </c>
      <c r="H1286" s="5" t="s">
        <v>4</v>
      </c>
    </row>
    <row r="1287" spans="1:8" hidden="1">
      <c r="A1287" s="5" t="s">
        <v>46</v>
      </c>
      <c r="H1287" s="5" t="s">
        <v>4</v>
      </c>
    </row>
    <row r="1288" spans="1:8" hidden="1">
      <c r="A1288" s="5" t="s">
        <v>47</v>
      </c>
      <c r="H1288" s="5" t="s">
        <v>4</v>
      </c>
    </row>
    <row r="1289" spans="1:8" hidden="1">
      <c r="A1289" s="5" t="s">
        <v>37</v>
      </c>
      <c r="H1289" s="5" t="s">
        <v>4</v>
      </c>
    </row>
    <row r="1290" spans="1:8" hidden="1">
      <c r="A1290" s="6"/>
      <c r="H1290" s="5" t="s">
        <v>4</v>
      </c>
    </row>
    <row r="1291" spans="1:8" hidden="1">
      <c r="A1291" s="5" t="s">
        <v>136</v>
      </c>
      <c r="H1291" s="5" t="s">
        <v>4</v>
      </c>
    </row>
    <row r="1292" spans="1:8" hidden="1">
      <c r="A1292" s="5" t="s">
        <v>137</v>
      </c>
      <c r="H1292" s="5" t="s">
        <v>4</v>
      </c>
    </row>
    <row r="1293" spans="1:8" hidden="1">
      <c r="A1293" s="6"/>
      <c r="H1293" s="5" t="s">
        <v>4</v>
      </c>
    </row>
    <row r="1294" spans="1:8" hidden="1">
      <c r="A1294" s="6"/>
      <c r="H1294" s="5" t="s">
        <v>4</v>
      </c>
    </row>
    <row r="1295" spans="1:8" hidden="1">
      <c r="A1295" s="5" t="s">
        <v>3</v>
      </c>
      <c r="H1295" s="5" t="s">
        <v>4</v>
      </c>
    </row>
    <row r="1296" spans="1:8" hidden="1">
      <c r="A1296" s="5" t="s">
        <v>4</v>
      </c>
      <c r="H1296" s="5" t="s">
        <v>4</v>
      </c>
    </row>
    <row r="1297" spans="1:8" hidden="1">
      <c r="A1297" s="5" t="s">
        <v>5</v>
      </c>
      <c r="H1297" s="5" t="s">
        <v>4</v>
      </c>
    </row>
    <row r="1298" spans="1:8" hidden="1">
      <c r="A1298" s="5" t="s">
        <v>6</v>
      </c>
      <c r="H1298" s="5" t="s">
        <v>4</v>
      </c>
    </row>
    <row r="1299" spans="1:8" hidden="1">
      <c r="A1299" s="5" t="s">
        <v>7</v>
      </c>
      <c r="H1299" s="5" t="s">
        <v>4</v>
      </c>
    </row>
    <row r="1300" spans="1:8" hidden="1">
      <c r="A1300" s="5" t="s">
        <v>6</v>
      </c>
      <c r="H1300" s="5" t="s">
        <v>4</v>
      </c>
    </row>
    <row r="1301" spans="1:8" hidden="1">
      <c r="A1301" s="5" t="s">
        <v>139</v>
      </c>
      <c r="H1301" s="5" t="s">
        <v>4</v>
      </c>
    </row>
    <row r="1302" spans="1:8" hidden="1">
      <c r="A1302" s="5" t="s">
        <v>140</v>
      </c>
      <c r="H1302" s="5" t="s">
        <v>4</v>
      </c>
    </row>
    <row r="1303" spans="1:8" hidden="1">
      <c r="A1303" s="6"/>
      <c r="H1303" s="5" t="s">
        <v>4</v>
      </c>
    </row>
    <row r="1304" spans="1:8" hidden="1">
      <c r="A1304" s="5" t="s">
        <v>141</v>
      </c>
      <c r="H1304" s="5" t="s">
        <v>4</v>
      </c>
    </row>
    <row r="1305" spans="1:8" hidden="1">
      <c r="A1305" s="5" t="s">
        <v>70</v>
      </c>
      <c r="H1305" s="5" t="s">
        <v>4</v>
      </c>
    </row>
    <row r="1306" spans="1:8" hidden="1">
      <c r="A1306" s="5" t="s">
        <v>142</v>
      </c>
      <c r="H1306" s="5" t="s">
        <v>4</v>
      </c>
    </row>
    <row r="1307" spans="1:8" hidden="1">
      <c r="A1307" s="5" t="s">
        <v>143</v>
      </c>
      <c r="H1307" s="5" t="s">
        <v>4</v>
      </c>
    </row>
    <row r="1308" spans="1:8" hidden="1">
      <c r="A1308" s="5" t="s">
        <v>70</v>
      </c>
      <c r="H1308" s="5" t="s">
        <v>4</v>
      </c>
    </row>
    <row r="1309" spans="1:8" hidden="1">
      <c r="A1309" s="5" t="s">
        <v>142</v>
      </c>
      <c r="H1309" s="5" t="s">
        <v>4</v>
      </c>
    </row>
    <row r="1310" spans="1:8" hidden="1">
      <c r="A1310" s="5" t="s">
        <v>144</v>
      </c>
      <c r="H1310" s="5" t="s">
        <v>4</v>
      </c>
    </row>
    <row r="1311" spans="1:8" hidden="1">
      <c r="A1311" s="5" t="s">
        <v>70</v>
      </c>
      <c r="H1311" s="5" t="s">
        <v>4</v>
      </c>
    </row>
    <row r="1312" spans="1:8" hidden="1">
      <c r="A1312" s="5" t="s">
        <v>142</v>
      </c>
      <c r="H1312" s="5" t="s">
        <v>4</v>
      </c>
    </row>
    <row r="1313" spans="1:8" hidden="1">
      <c r="A1313" s="5" t="s">
        <v>145</v>
      </c>
      <c r="H1313" s="5" t="s">
        <v>4</v>
      </c>
    </row>
    <row r="1314" spans="1:8" hidden="1">
      <c r="A1314" s="5" t="s">
        <v>103</v>
      </c>
      <c r="H1314" s="5" t="s">
        <v>4</v>
      </c>
    </row>
    <row r="1315" spans="1:8" hidden="1">
      <c r="A1315" s="5" t="s">
        <v>6</v>
      </c>
      <c r="H1315" s="5" t="s">
        <v>4</v>
      </c>
    </row>
    <row r="1316" spans="1:8" hidden="1">
      <c r="A1316" s="5" t="s">
        <v>146</v>
      </c>
      <c r="H1316" s="5" t="s">
        <v>4</v>
      </c>
    </row>
    <row r="1317" spans="1:8" hidden="1">
      <c r="A1317" s="5" t="s">
        <v>147</v>
      </c>
      <c r="H1317" s="5" t="s">
        <v>4</v>
      </c>
    </row>
    <row r="1318" spans="1:8" hidden="1">
      <c r="A1318" s="5" t="s">
        <v>148</v>
      </c>
      <c r="H1318" s="5" t="s">
        <v>4</v>
      </c>
    </row>
    <row r="1319" spans="1:8" hidden="1">
      <c r="A1319" s="6"/>
      <c r="H1319" s="5" t="s">
        <v>4</v>
      </c>
    </row>
    <row r="1320" spans="1:8" hidden="1">
      <c r="A1320" s="5" t="s">
        <v>18</v>
      </c>
      <c r="H1320" s="5" t="s">
        <v>4</v>
      </c>
    </row>
    <row r="1321" spans="1:8" hidden="1">
      <c r="A1321" s="7">
        <v>79899</v>
      </c>
      <c r="H1321" s="5" t="s">
        <v>4</v>
      </c>
    </row>
    <row r="1322" spans="1:8" hidden="1">
      <c r="A1322" s="6"/>
      <c r="H1322" s="5" t="s">
        <v>4</v>
      </c>
    </row>
    <row r="1323" spans="1:8" hidden="1">
      <c r="A1323" s="5" t="s">
        <v>19</v>
      </c>
      <c r="H1323" s="5" t="s">
        <v>4</v>
      </c>
    </row>
    <row r="1324" spans="1:8" hidden="1">
      <c r="A1324" s="5" t="s">
        <v>20</v>
      </c>
      <c r="H1324" s="5" t="s">
        <v>4</v>
      </c>
    </row>
    <row r="1325" spans="1:8" hidden="1">
      <c r="A1325" s="5" t="s">
        <v>21</v>
      </c>
      <c r="H1325" s="5" t="s">
        <v>4</v>
      </c>
    </row>
    <row r="1326" spans="1:8" hidden="1">
      <c r="A1326" s="5" t="s">
        <v>22</v>
      </c>
      <c r="H1326" s="5" t="s">
        <v>4</v>
      </c>
    </row>
    <row r="1327" spans="1:8" hidden="1">
      <c r="A1327" s="5" t="s">
        <v>23</v>
      </c>
      <c r="H1327" s="5" t="s">
        <v>4</v>
      </c>
    </row>
    <row r="1328" spans="1:8" hidden="1">
      <c r="A1328" s="5" t="s">
        <v>24</v>
      </c>
      <c r="H1328" s="5" t="s">
        <v>4</v>
      </c>
    </row>
    <row r="1329" spans="1:8" hidden="1">
      <c r="A1329" s="5" t="s">
        <v>25</v>
      </c>
      <c r="H1329" s="5" t="s">
        <v>4</v>
      </c>
    </row>
    <row r="1330" spans="1:8" hidden="1">
      <c r="A1330" s="5" t="s">
        <v>26</v>
      </c>
      <c r="H1330" s="5" t="s">
        <v>4</v>
      </c>
    </row>
    <row r="1331" spans="1:8" hidden="1">
      <c r="A1331" s="5" t="s">
        <v>27</v>
      </c>
      <c r="H1331" s="5" t="s">
        <v>4</v>
      </c>
    </row>
    <row r="1332" spans="1:8" hidden="1">
      <c r="A1332" s="5" t="s">
        <v>6</v>
      </c>
      <c r="H1332" s="5" t="s">
        <v>4</v>
      </c>
    </row>
    <row r="1333" spans="1:8" hidden="1">
      <c r="A1333" s="5" t="s">
        <v>28</v>
      </c>
      <c r="H1333" s="5" t="s">
        <v>3</v>
      </c>
    </row>
    <row r="1334" spans="1:8" hidden="1">
      <c r="A1334" s="5" t="s">
        <v>29</v>
      </c>
      <c r="H1334" s="5" t="s">
        <v>3</v>
      </c>
    </row>
    <row r="1335" spans="1:8" hidden="1">
      <c r="A1335" s="6"/>
      <c r="H1335" s="5" t="s">
        <v>3</v>
      </c>
    </row>
    <row r="1336" spans="1:8" hidden="1">
      <c r="A1336" s="6"/>
      <c r="H1336" s="5" t="s">
        <v>3</v>
      </c>
    </row>
    <row r="1337" spans="1:8" hidden="1">
      <c r="A1337" s="5" t="s">
        <v>6</v>
      </c>
      <c r="H1337" s="5" t="s">
        <v>3</v>
      </c>
    </row>
    <row r="1338" spans="1:8" hidden="1">
      <c r="A1338" s="5" t="s">
        <v>30</v>
      </c>
      <c r="H1338" s="5" t="s">
        <v>3</v>
      </c>
    </row>
    <row r="1339" spans="1:8" hidden="1">
      <c r="A1339" s="6"/>
      <c r="H1339" s="5" t="s">
        <v>3</v>
      </c>
    </row>
    <row r="1340" spans="1:8" hidden="1">
      <c r="A1340" s="5" t="s">
        <v>31</v>
      </c>
      <c r="H1340" s="5" t="s">
        <v>3</v>
      </c>
    </row>
    <row r="1341" spans="1:8" hidden="1">
      <c r="A1341" s="5" t="s">
        <v>32</v>
      </c>
      <c r="H1341" s="5" t="s">
        <v>3</v>
      </c>
    </row>
    <row r="1342" spans="1:8" hidden="1">
      <c r="A1342" s="5" t="s">
        <v>33</v>
      </c>
      <c r="H1342" s="5" t="s">
        <v>3</v>
      </c>
    </row>
    <row r="1343" spans="1:8" hidden="1">
      <c r="A1343" s="5" t="s">
        <v>34</v>
      </c>
      <c r="H1343" s="5" t="s">
        <v>3</v>
      </c>
    </row>
    <row r="1344" spans="1:8" hidden="1">
      <c r="A1344" s="5" t="s">
        <v>35</v>
      </c>
      <c r="H1344" s="5" t="s">
        <v>3</v>
      </c>
    </row>
    <row r="1345" spans="1:8" hidden="1">
      <c r="A1345" s="5" t="s">
        <v>36</v>
      </c>
      <c r="H1345" s="5" t="s">
        <v>3</v>
      </c>
    </row>
    <row r="1346" spans="1:8" hidden="1">
      <c r="A1346" s="5" t="s">
        <v>37</v>
      </c>
      <c r="H1346" s="5" t="s">
        <v>3</v>
      </c>
    </row>
    <row r="1347" spans="1:8" hidden="1">
      <c r="A1347" s="5" t="s">
        <v>38</v>
      </c>
      <c r="H1347" s="5" t="s">
        <v>3</v>
      </c>
    </row>
    <row r="1348" spans="1:8" hidden="1">
      <c r="A1348" s="5" t="s">
        <v>39</v>
      </c>
      <c r="H1348" s="5" t="s">
        <v>3</v>
      </c>
    </row>
    <row r="1349" spans="1:8" hidden="1">
      <c r="A1349" s="6"/>
      <c r="H1349" s="5" t="s">
        <v>3</v>
      </c>
    </row>
    <row r="1350" spans="1:8" hidden="1">
      <c r="A1350" s="5" t="s">
        <v>139</v>
      </c>
      <c r="H1350" s="5" t="s">
        <v>3</v>
      </c>
    </row>
    <row r="1351" spans="1:8" hidden="1">
      <c r="A1351" s="5" t="s">
        <v>140</v>
      </c>
      <c r="H1351" s="5" t="s">
        <v>3</v>
      </c>
    </row>
    <row r="1352" spans="1:8" hidden="1">
      <c r="A1352" s="6"/>
      <c r="H1352" s="5" t="s">
        <v>3</v>
      </c>
    </row>
    <row r="1353" spans="1:8" hidden="1">
      <c r="A1353" s="6"/>
      <c r="H1353" s="5" t="s">
        <v>3</v>
      </c>
    </row>
    <row r="1354" spans="1:8" hidden="1">
      <c r="A1354" s="6"/>
      <c r="H1354" s="5" t="s">
        <v>3</v>
      </c>
    </row>
    <row r="1355" spans="1:8" hidden="1">
      <c r="A1355" s="6"/>
      <c r="H1355" s="5" t="s">
        <v>3</v>
      </c>
    </row>
    <row r="1356" spans="1:8" hidden="1">
      <c r="A1356" s="5" t="s">
        <v>6</v>
      </c>
      <c r="H1356" s="5" t="s">
        <v>3</v>
      </c>
    </row>
    <row r="1357" spans="1:8" hidden="1">
      <c r="A1357" s="5" t="s">
        <v>40</v>
      </c>
      <c r="H1357" s="5" t="s">
        <v>3</v>
      </c>
    </row>
    <row r="1358" spans="1:8" hidden="1">
      <c r="A1358" s="6"/>
      <c r="H1358" s="5" t="s">
        <v>3</v>
      </c>
    </row>
    <row r="1359" spans="1:8" hidden="1">
      <c r="A1359" s="5" t="s">
        <v>41</v>
      </c>
      <c r="H1359" s="5" t="s">
        <v>3</v>
      </c>
    </row>
    <row r="1360" spans="1:8" hidden="1">
      <c r="A1360" s="6"/>
      <c r="H1360" s="5" t="s">
        <v>3</v>
      </c>
    </row>
    <row r="1361" spans="1:8" hidden="1">
      <c r="A1361" s="5" t="s">
        <v>42</v>
      </c>
      <c r="H1361" s="5" t="s">
        <v>3</v>
      </c>
    </row>
    <row r="1362" spans="1:8" hidden="1">
      <c r="A1362" s="6"/>
      <c r="H1362" s="5" t="s">
        <v>3</v>
      </c>
    </row>
    <row r="1363" spans="1:8" hidden="1">
      <c r="A1363" s="5" t="s">
        <v>43</v>
      </c>
      <c r="H1363" s="5" t="s">
        <v>3</v>
      </c>
    </row>
    <row r="1364" spans="1:8" hidden="1">
      <c r="A1364" s="5" t="s">
        <v>44</v>
      </c>
      <c r="H1364" s="5" t="s">
        <v>3</v>
      </c>
    </row>
    <row r="1365" spans="1:8" hidden="1">
      <c r="A1365" s="5" t="s">
        <v>45</v>
      </c>
      <c r="H1365" s="5" t="s">
        <v>3</v>
      </c>
    </row>
    <row r="1366" spans="1:8" hidden="1">
      <c r="A1366" s="5" t="s">
        <v>46</v>
      </c>
      <c r="H1366" s="5" t="s">
        <v>3</v>
      </c>
    </row>
    <row r="1367" spans="1:8" hidden="1">
      <c r="A1367" s="5" t="s">
        <v>47</v>
      </c>
      <c r="H1367" s="5" t="s">
        <v>3</v>
      </c>
    </row>
    <row r="1368" spans="1:8" hidden="1">
      <c r="A1368" s="5" t="s">
        <v>37</v>
      </c>
      <c r="H1368" s="5" t="s">
        <v>3</v>
      </c>
    </row>
    <row r="1369" spans="1:8" hidden="1">
      <c r="A1369" s="6"/>
      <c r="H1369" s="5" t="s">
        <v>3</v>
      </c>
    </row>
    <row r="1370" spans="1:8" hidden="1">
      <c r="A1370" s="5" t="s">
        <v>139</v>
      </c>
      <c r="H1370" s="5" t="s">
        <v>3</v>
      </c>
    </row>
    <row r="1371" spans="1:8" hidden="1">
      <c r="A1371" s="5" t="s">
        <v>140</v>
      </c>
      <c r="H1371" s="5" t="s">
        <v>3</v>
      </c>
    </row>
    <row r="1372" spans="1:8" hidden="1">
      <c r="A1372" s="6"/>
      <c r="H1372" s="5" t="s">
        <v>3</v>
      </c>
    </row>
    <row r="1373" spans="1:8" hidden="1">
      <c r="A1373" s="6"/>
      <c r="H1373" s="5" t="s">
        <v>3</v>
      </c>
    </row>
    <row r="1374" spans="1:8" hidden="1">
      <c r="A1374" s="5" t="s">
        <v>3</v>
      </c>
      <c r="H1374" s="5" t="s">
        <v>3</v>
      </c>
    </row>
    <row r="1375" spans="1:8" hidden="1">
      <c r="A1375" s="5" t="s">
        <v>4</v>
      </c>
      <c r="H1375" s="5" t="s">
        <v>3</v>
      </c>
    </row>
    <row r="1376" spans="1:8" hidden="1">
      <c r="A1376" s="5" t="s">
        <v>5</v>
      </c>
      <c r="H1376" s="5" t="s">
        <v>3</v>
      </c>
    </row>
    <row r="1377" spans="1:8" hidden="1">
      <c r="A1377" s="5" t="s">
        <v>6</v>
      </c>
      <c r="H1377" s="5" t="s">
        <v>3</v>
      </c>
    </row>
    <row r="1378" spans="1:8" hidden="1">
      <c r="A1378" s="5" t="s">
        <v>7</v>
      </c>
      <c r="H1378" s="5" t="s">
        <v>3</v>
      </c>
    </row>
    <row r="1379" spans="1:8" hidden="1">
      <c r="A1379" s="5" t="s">
        <v>6</v>
      </c>
      <c r="H1379" s="5" t="s">
        <v>3</v>
      </c>
    </row>
    <row r="1380" spans="1:8" hidden="1">
      <c r="A1380" s="5" t="s">
        <v>149</v>
      </c>
      <c r="H1380" s="5" t="s">
        <v>3</v>
      </c>
    </row>
    <row r="1381" spans="1:8" hidden="1">
      <c r="A1381" s="5" t="s">
        <v>150</v>
      </c>
      <c r="H1381" s="5" t="s">
        <v>3</v>
      </c>
    </row>
    <row r="1382" spans="1:8" hidden="1">
      <c r="A1382" s="6"/>
      <c r="H1382" s="5" t="s">
        <v>3</v>
      </c>
    </row>
    <row r="1383" spans="1:8" hidden="1">
      <c r="A1383" s="5" t="s">
        <v>151</v>
      </c>
      <c r="H1383" s="5" t="s">
        <v>3</v>
      </c>
    </row>
    <row r="1384" spans="1:8" hidden="1">
      <c r="A1384" s="5" t="s">
        <v>152</v>
      </c>
      <c r="H1384" s="5" t="s">
        <v>3</v>
      </c>
    </row>
    <row r="1385" spans="1:8" hidden="1">
      <c r="A1385" s="5" t="s">
        <v>103</v>
      </c>
      <c r="H1385" s="5" t="s">
        <v>3</v>
      </c>
    </row>
    <row r="1386" spans="1:8" hidden="1">
      <c r="A1386" s="5" t="s">
        <v>6</v>
      </c>
      <c r="H1386" s="5" t="s">
        <v>3</v>
      </c>
    </row>
    <row r="1387" spans="1:8" hidden="1">
      <c r="A1387" s="5" t="s">
        <v>153</v>
      </c>
      <c r="H1387" s="5" t="s">
        <v>3</v>
      </c>
    </row>
    <row r="1388" spans="1:8" hidden="1">
      <c r="A1388" s="5" t="s">
        <v>154</v>
      </c>
      <c r="H1388" s="5" t="s">
        <v>3</v>
      </c>
    </row>
    <row r="1389" spans="1:8" hidden="1">
      <c r="A1389" s="6"/>
      <c r="H1389" s="5" t="s">
        <v>3</v>
      </c>
    </row>
    <row r="1390" spans="1:8" hidden="1">
      <c r="A1390" s="5" t="s">
        <v>19</v>
      </c>
      <c r="H1390" s="5" t="s">
        <v>3</v>
      </c>
    </row>
    <row r="1391" spans="1:8" hidden="1">
      <c r="A1391" s="5" t="s">
        <v>20</v>
      </c>
      <c r="H1391" s="5" t="s">
        <v>3</v>
      </c>
    </row>
    <row r="1392" spans="1:8" hidden="1">
      <c r="A1392" s="5" t="s">
        <v>21</v>
      </c>
      <c r="H1392" s="5" t="s">
        <v>3</v>
      </c>
    </row>
    <row r="1393" spans="1:8" hidden="1">
      <c r="A1393" s="5" t="s">
        <v>22</v>
      </c>
      <c r="H1393" s="5" t="s">
        <v>3</v>
      </c>
    </row>
    <row r="1394" spans="1:8" hidden="1">
      <c r="A1394" s="5" t="s">
        <v>23</v>
      </c>
      <c r="H1394" s="5" t="s">
        <v>3</v>
      </c>
    </row>
    <row r="1395" spans="1:8" hidden="1">
      <c r="A1395" s="5" t="s">
        <v>24</v>
      </c>
      <c r="H1395" s="5" t="s">
        <v>3</v>
      </c>
    </row>
    <row r="1396" spans="1:8" hidden="1">
      <c r="A1396" s="5" t="s">
        <v>25</v>
      </c>
      <c r="H1396" s="5" t="s">
        <v>3</v>
      </c>
    </row>
    <row r="1397" spans="1:8" hidden="1">
      <c r="A1397" s="5" t="s">
        <v>26</v>
      </c>
      <c r="H1397" s="5" t="s">
        <v>3</v>
      </c>
    </row>
    <row r="1398" spans="1:8" hidden="1">
      <c r="A1398" s="5" t="s">
        <v>27</v>
      </c>
      <c r="H1398" s="5" t="s">
        <v>3</v>
      </c>
    </row>
    <row r="1399" spans="1:8" hidden="1">
      <c r="A1399" s="5" t="s">
        <v>6</v>
      </c>
      <c r="H1399" s="5" t="s">
        <v>3</v>
      </c>
    </row>
    <row r="1400" spans="1:8" hidden="1">
      <c r="A1400" s="5" t="s">
        <v>28</v>
      </c>
      <c r="H1400" s="5" t="s">
        <v>3</v>
      </c>
    </row>
    <row r="1401" spans="1:8" hidden="1">
      <c r="A1401" s="5" t="s">
        <v>29</v>
      </c>
      <c r="H1401" s="5" t="s">
        <v>3</v>
      </c>
    </row>
    <row r="1402" spans="1:8" hidden="1">
      <c r="A1402" s="6"/>
      <c r="H1402" s="5" t="s">
        <v>3</v>
      </c>
    </row>
    <row r="1403" spans="1:8" hidden="1">
      <c r="A1403" s="6"/>
      <c r="H1403" s="5" t="s">
        <v>3</v>
      </c>
    </row>
    <row r="1404" spans="1:8" hidden="1">
      <c r="A1404" s="5" t="s">
        <v>6</v>
      </c>
      <c r="H1404" s="5" t="s">
        <v>3</v>
      </c>
    </row>
    <row r="1405" spans="1:8" hidden="1">
      <c r="A1405" s="5" t="s">
        <v>30</v>
      </c>
      <c r="H1405" s="5" t="s">
        <v>19</v>
      </c>
    </row>
    <row r="1406" spans="1:8" hidden="1">
      <c r="A1406" s="6"/>
      <c r="H1406" s="5" t="s">
        <v>19</v>
      </c>
    </row>
    <row r="1407" spans="1:8" hidden="1">
      <c r="A1407" s="5" t="s">
        <v>31</v>
      </c>
      <c r="H1407" s="5" t="s">
        <v>19</v>
      </c>
    </row>
    <row r="1408" spans="1:8" hidden="1">
      <c r="A1408" s="5" t="s">
        <v>32</v>
      </c>
      <c r="H1408" s="5" t="s">
        <v>19</v>
      </c>
    </row>
    <row r="1409" spans="1:8" hidden="1">
      <c r="A1409" s="5" t="s">
        <v>33</v>
      </c>
      <c r="H1409" s="5" t="s">
        <v>19</v>
      </c>
    </row>
    <row r="1410" spans="1:8" hidden="1">
      <c r="A1410" s="5" t="s">
        <v>34</v>
      </c>
      <c r="H1410" s="5" t="s">
        <v>19</v>
      </c>
    </row>
    <row r="1411" spans="1:8" hidden="1">
      <c r="A1411" s="5" t="s">
        <v>35</v>
      </c>
      <c r="H1411" s="5" t="s">
        <v>19</v>
      </c>
    </row>
    <row r="1412" spans="1:8" hidden="1">
      <c r="A1412" s="5" t="s">
        <v>36</v>
      </c>
      <c r="H1412" s="5" t="s">
        <v>19</v>
      </c>
    </row>
    <row r="1413" spans="1:8" hidden="1">
      <c r="A1413" s="5" t="s">
        <v>37</v>
      </c>
      <c r="H1413" s="5" t="s">
        <v>19</v>
      </c>
    </row>
    <row r="1414" spans="1:8" hidden="1">
      <c r="A1414" s="5" t="s">
        <v>38</v>
      </c>
      <c r="H1414" s="5" t="s">
        <v>19</v>
      </c>
    </row>
    <row r="1415" spans="1:8" hidden="1">
      <c r="A1415" s="5" t="s">
        <v>39</v>
      </c>
      <c r="H1415" s="5" t="s">
        <v>19</v>
      </c>
    </row>
    <row r="1416" spans="1:8" hidden="1">
      <c r="A1416" s="6"/>
      <c r="H1416" s="5" t="s">
        <v>19</v>
      </c>
    </row>
    <row r="1417" spans="1:8" hidden="1">
      <c r="A1417" s="5" t="s">
        <v>149</v>
      </c>
      <c r="H1417" s="5" t="s">
        <v>19</v>
      </c>
    </row>
    <row r="1418" spans="1:8" hidden="1">
      <c r="A1418" s="5" t="s">
        <v>150</v>
      </c>
      <c r="H1418" s="5" t="s">
        <v>19</v>
      </c>
    </row>
    <row r="1419" spans="1:8" hidden="1">
      <c r="A1419" s="6"/>
      <c r="H1419" s="5" t="s">
        <v>19</v>
      </c>
    </row>
    <row r="1420" spans="1:8" hidden="1">
      <c r="A1420" s="6"/>
      <c r="H1420" s="5" t="s">
        <v>19</v>
      </c>
    </row>
    <row r="1421" spans="1:8" hidden="1">
      <c r="A1421" s="6"/>
      <c r="H1421" s="5" t="s">
        <v>19</v>
      </c>
    </row>
    <row r="1422" spans="1:8" hidden="1">
      <c r="A1422" s="6"/>
      <c r="H1422" s="5" t="s">
        <v>19</v>
      </c>
    </row>
    <row r="1423" spans="1:8" hidden="1">
      <c r="A1423" s="5" t="s">
        <v>6</v>
      </c>
      <c r="H1423" s="5" t="s">
        <v>19</v>
      </c>
    </row>
    <row r="1424" spans="1:8" hidden="1">
      <c r="A1424" s="5" t="s">
        <v>40</v>
      </c>
      <c r="H1424" s="5" t="s">
        <v>19</v>
      </c>
    </row>
    <row r="1425" spans="1:8" hidden="1">
      <c r="A1425" s="6"/>
      <c r="H1425" s="5" t="s">
        <v>19</v>
      </c>
    </row>
    <row r="1426" spans="1:8" hidden="1">
      <c r="A1426" s="5" t="s">
        <v>41</v>
      </c>
      <c r="H1426" s="5" t="s">
        <v>19</v>
      </c>
    </row>
    <row r="1427" spans="1:8" hidden="1">
      <c r="A1427" s="6"/>
      <c r="H1427" s="5" t="s">
        <v>19</v>
      </c>
    </row>
    <row r="1428" spans="1:8" hidden="1">
      <c r="A1428" s="5" t="s">
        <v>42</v>
      </c>
      <c r="H1428" s="5" t="s">
        <v>19</v>
      </c>
    </row>
    <row r="1429" spans="1:8" hidden="1">
      <c r="A1429" s="6"/>
      <c r="H1429" s="5" t="s">
        <v>19</v>
      </c>
    </row>
    <row r="1430" spans="1:8" hidden="1">
      <c r="A1430" s="5" t="s">
        <v>43</v>
      </c>
      <c r="H1430" s="5" t="s">
        <v>19</v>
      </c>
    </row>
    <row r="1431" spans="1:8" hidden="1">
      <c r="A1431" s="5" t="s">
        <v>44</v>
      </c>
      <c r="H1431" s="5" t="s">
        <v>19</v>
      </c>
    </row>
    <row r="1432" spans="1:8" hidden="1">
      <c r="A1432" s="5" t="s">
        <v>45</v>
      </c>
      <c r="H1432" s="5" t="s">
        <v>19</v>
      </c>
    </row>
    <row r="1433" spans="1:8" hidden="1">
      <c r="A1433" s="5" t="s">
        <v>46</v>
      </c>
      <c r="H1433" s="5" t="s">
        <v>19</v>
      </c>
    </row>
    <row r="1434" spans="1:8" hidden="1">
      <c r="A1434" s="5" t="s">
        <v>47</v>
      </c>
      <c r="H1434" s="5" t="s">
        <v>19</v>
      </c>
    </row>
    <row r="1435" spans="1:8" hidden="1">
      <c r="A1435" s="5" t="s">
        <v>37</v>
      </c>
      <c r="H1435" s="5" t="s">
        <v>19</v>
      </c>
    </row>
    <row r="1436" spans="1:8" hidden="1">
      <c r="A1436" s="6"/>
      <c r="H1436" s="5" t="s">
        <v>19</v>
      </c>
    </row>
    <row r="1437" spans="1:8" hidden="1">
      <c r="A1437" s="5" t="s">
        <v>149</v>
      </c>
      <c r="H1437" s="5" t="s">
        <v>19</v>
      </c>
    </row>
    <row r="1438" spans="1:8" hidden="1">
      <c r="A1438" s="5" t="s">
        <v>150</v>
      </c>
      <c r="H1438" s="5" t="s">
        <v>19</v>
      </c>
    </row>
    <row r="1439" spans="1:8" hidden="1">
      <c r="A1439" s="6"/>
      <c r="H1439" s="5" t="s">
        <v>19</v>
      </c>
    </row>
    <row r="1440" spans="1:8" hidden="1">
      <c r="A1440" s="6"/>
      <c r="H1440" s="5" t="s">
        <v>19</v>
      </c>
    </row>
    <row r="1441" spans="1:8" hidden="1">
      <c r="A1441" s="5" t="s">
        <v>3</v>
      </c>
      <c r="H1441" s="5" t="s">
        <v>19</v>
      </c>
    </row>
    <row r="1442" spans="1:8" hidden="1">
      <c r="A1442" s="5" t="s">
        <v>4</v>
      </c>
      <c r="H1442" s="5" t="s">
        <v>19</v>
      </c>
    </row>
    <row r="1443" spans="1:8" hidden="1">
      <c r="A1443" s="5" t="s">
        <v>5</v>
      </c>
      <c r="H1443" s="5" t="s">
        <v>19</v>
      </c>
    </row>
    <row r="1444" spans="1:8" hidden="1">
      <c r="A1444" s="5" t="s">
        <v>6</v>
      </c>
      <c r="H1444" s="5" t="s">
        <v>19</v>
      </c>
    </row>
    <row r="1445" spans="1:8" hidden="1">
      <c r="A1445" s="5" t="s">
        <v>7</v>
      </c>
      <c r="H1445" s="5" t="s">
        <v>19</v>
      </c>
    </row>
    <row r="1446" spans="1:8" hidden="1">
      <c r="A1446" s="5" t="s">
        <v>6</v>
      </c>
      <c r="H1446" s="5" t="s">
        <v>19</v>
      </c>
    </row>
    <row r="1447" spans="1:8" hidden="1">
      <c r="A1447" s="5" t="s">
        <v>155</v>
      </c>
      <c r="H1447" s="5" t="s">
        <v>19</v>
      </c>
    </row>
    <row r="1448" spans="1:8" hidden="1">
      <c r="A1448" s="5" t="s">
        <v>156</v>
      </c>
      <c r="H1448" s="5" t="s">
        <v>19</v>
      </c>
    </row>
    <row r="1449" spans="1:8" hidden="1">
      <c r="A1449" s="6"/>
      <c r="H1449" s="5" t="s">
        <v>19</v>
      </c>
    </row>
    <row r="1450" spans="1:8" hidden="1">
      <c r="A1450" s="5" t="s">
        <v>157</v>
      </c>
      <c r="H1450" s="5" t="s">
        <v>19</v>
      </c>
    </row>
    <row r="1451" spans="1:8" hidden="1">
      <c r="A1451" s="5" t="s">
        <v>158</v>
      </c>
      <c r="H1451" s="5" t="s">
        <v>19</v>
      </c>
    </row>
    <row r="1452" spans="1:8" hidden="1">
      <c r="A1452" s="5" t="s">
        <v>159</v>
      </c>
      <c r="H1452" s="5" t="s">
        <v>19</v>
      </c>
    </row>
    <row r="1453" spans="1:8" hidden="1">
      <c r="A1453" s="5" t="s">
        <v>160</v>
      </c>
      <c r="H1453" s="5" t="s">
        <v>19</v>
      </c>
    </row>
    <row r="1454" spans="1:8" hidden="1">
      <c r="A1454" s="5" t="s">
        <v>161</v>
      </c>
      <c r="H1454" s="5" t="s">
        <v>19</v>
      </c>
    </row>
    <row r="1455" spans="1:8" hidden="1">
      <c r="A1455" s="5" t="s">
        <v>162</v>
      </c>
      <c r="H1455" s="5" t="s">
        <v>19</v>
      </c>
    </row>
    <row r="1456" spans="1:8" hidden="1">
      <c r="A1456" s="5" t="s">
        <v>163</v>
      </c>
      <c r="H1456" s="5" t="s">
        <v>19</v>
      </c>
    </row>
    <row r="1457" spans="1:8" hidden="1">
      <c r="A1457" s="5" t="s">
        <v>164</v>
      </c>
      <c r="H1457" s="5" t="s">
        <v>19</v>
      </c>
    </row>
    <row r="1458" spans="1:8" hidden="1">
      <c r="A1458" s="5" t="s">
        <v>165</v>
      </c>
      <c r="H1458" s="5" t="s">
        <v>19</v>
      </c>
    </row>
    <row r="1459" spans="1:8" hidden="1">
      <c r="A1459" s="5" t="s">
        <v>15</v>
      </c>
      <c r="H1459" s="5" t="s">
        <v>19</v>
      </c>
    </row>
    <row r="1460" spans="1:8" hidden="1">
      <c r="A1460" s="5" t="s">
        <v>6</v>
      </c>
      <c r="H1460" s="5" t="s">
        <v>19</v>
      </c>
    </row>
    <row r="1461" spans="1:8" hidden="1">
      <c r="A1461" s="5" t="s">
        <v>166</v>
      </c>
      <c r="H1461" s="5" t="s">
        <v>19</v>
      </c>
    </row>
    <row r="1462" spans="1:8" hidden="1">
      <c r="A1462" s="5" t="s">
        <v>167</v>
      </c>
      <c r="H1462" s="5" t="s">
        <v>19</v>
      </c>
    </row>
    <row r="1463" spans="1:8" hidden="1">
      <c r="A1463" s="5" t="s">
        <v>168</v>
      </c>
      <c r="H1463" s="5" t="s">
        <v>19</v>
      </c>
    </row>
    <row r="1464" spans="1:8" hidden="1">
      <c r="A1464" s="6"/>
      <c r="H1464" s="5" t="s">
        <v>19</v>
      </c>
    </row>
    <row r="1465" spans="1:8" hidden="1">
      <c r="A1465" s="5" t="s">
        <v>18</v>
      </c>
      <c r="H1465" s="5" t="s">
        <v>19</v>
      </c>
    </row>
    <row r="1466" spans="1:8" hidden="1">
      <c r="A1466" s="7">
        <v>526240</v>
      </c>
      <c r="H1466" s="5" t="s">
        <v>19</v>
      </c>
    </row>
    <row r="1467" spans="1:8" hidden="1">
      <c r="A1467" s="6"/>
      <c r="H1467" s="5" t="s">
        <v>19</v>
      </c>
    </row>
    <row r="1468" spans="1:8" hidden="1">
      <c r="A1468" s="5" t="s">
        <v>19</v>
      </c>
      <c r="H1468" s="5" t="s">
        <v>19</v>
      </c>
    </row>
    <row r="1469" spans="1:8" hidden="1">
      <c r="A1469" s="5" t="s">
        <v>20</v>
      </c>
      <c r="H1469" s="5" t="s">
        <v>19</v>
      </c>
    </row>
    <row r="1470" spans="1:8" hidden="1">
      <c r="A1470" s="5" t="s">
        <v>21</v>
      </c>
      <c r="H1470" s="5" t="s">
        <v>308</v>
      </c>
    </row>
    <row r="1471" spans="1:8" hidden="1">
      <c r="A1471" s="5" t="s">
        <v>22</v>
      </c>
      <c r="H1471" s="5" t="s">
        <v>306</v>
      </c>
    </row>
    <row r="1472" spans="1:8">
      <c r="A1472" s="5" t="s">
        <v>23</v>
      </c>
      <c r="H1472" s="5"/>
    </row>
    <row r="1473" spans="1:8">
      <c r="A1473" s="5" t="s">
        <v>24</v>
      </c>
      <c r="H1473" s="5" t="s">
        <v>200</v>
      </c>
    </row>
    <row r="1474" spans="1:8">
      <c r="A1474" s="5" t="s">
        <v>25</v>
      </c>
      <c r="H1474" s="5" t="s">
        <v>200</v>
      </c>
    </row>
    <row r="1475" spans="1:8">
      <c r="A1475" s="5" t="s">
        <v>26</v>
      </c>
      <c r="H1475" s="5" t="s">
        <v>200</v>
      </c>
    </row>
    <row r="1476" spans="1:8">
      <c r="A1476" s="5" t="s">
        <v>27</v>
      </c>
      <c r="H1476" s="5" t="s">
        <v>200</v>
      </c>
    </row>
    <row r="1477" spans="1:8">
      <c r="A1477" s="5" t="s">
        <v>6</v>
      </c>
      <c r="H1477" s="5" t="s">
        <v>200</v>
      </c>
    </row>
    <row r="1478" spans="1:8">
      <c r="A1478" s="5" t="s">
        <v>28</v>
      </c>
      <c r="H1478" s="5" t="s">
        <v>131</v>
      </c>
    </row>
    <row r="1479" spans="1:8">
      <c r="A1479" s="5" t="s">
        <v>29</v>
      </c>
      <c r="H1479" s="5" t="s">
        <v>131</v>
      </c>
    </row>
    <row r="1480" spans="1:8">
      <c r="A1480" s="6"/>
      <c r="H1480" s="5" t="s">
        <v>71</v>
      </c>
    </row>
    <row r="1481" spans="1:8">
      <c r="A1481" s="6"/>
      <c r="H1481" s="5" t="s">
        <v>217</v>
      </c>
    </row>
    <row r="1482" spans="1:8">
      <c r="A1482" s="5" t="s">
        <v>6</v>
      </c>
      <c r="H1482" s="5" t="s">
        <v>217</v>
      </c>
    </row>
    <row r="1483" spans="1:8">
      <c r="A1483" s="5" t="s">
        <v>30</v>
      </c>
      <c r="H1483" s="5" t="s">
        <v>173</v>
      </c>
    </row>
    <row r="1484" spans="1:8">
      <c r="A1484" s="6"/>
      <c r="H1484" s="5" t="s">
        <v>233</v>
      </c>
    </row>
    <row r="1485" spans="1:8">
      <c r="A1485" s="5" t="s">
        <v>31</v>
      </c>
      <c r="H1485" s="5" t="s">
        <v>233</v>
      </c>
    </row>
    <row r="1486" spans="1:8">
      <c r="A1486" s="5" t="s">
        <v>32</v>
      </c>
      <c r="H1486" s="5" t="s">
        <v>233</v>
      </c>
    </row>
    <row r="1487" spans="1:8">
      <c r="A1487" s="5" t="s">
        <v>33</v>
      </c>
      <c r="H1487" s="5" t="s">
        <v>283</v>
      </c>
    </row>
    <row r="1488" spans="1:8">
      <c r="A1488" s="5" t="s">
        <v>34</v>
      </c>
      <c r="H1488" s="5" t="s">
        <v>283</v>
      </c>
    </row>
    <row r="1489" spans="1:8">
      <c r="A1489" s="5" t="s">
        <v>35</v>
      </c>
      <c r="H1489" s="5" t="s">
        <v>181</v>
      </c>
    </row>
    <row r="1490" spans="1:8">
      <c r="A1490" s="5" t="s">
        <v>36</v>
      </c>
      <c r="H1490" s="5" t="s">
        <v>89</v>
      </c>
    </row>
    <row r="1491" spans="1:8">
      <c r="A1491" s="5" t="s">
        <v>37</v>
      </c>
      <c r="H1491" s="5" t="s">
        <v>89</v>
      </c>
    </row>
    <row r="1492" spans="1:8">
      <c r="A1492" s="5" t="s">
        <v>38</v>
      </c>
      <c r="H1492" s="5" t="s">
        <v>89</v>
      </c>
    </row>
    <row r="1493" spans="1:8">
      <c r="A1493" s="5" t="s">
        <v>39</v>
      </c>
      <c r="H1493" s="5" t="s">
        <v>89</v>
      </c>
    </row>
    <row r="1494" spans="1:8">
      <c r="A1494" s="6"/>
      <c r="H1494" s="5" t="s">
        <v>89</v>
      </c>
    </row>
    <row r="1495" spans="1:8">
      <c r="A1495" s="5" t="s">
        <v>155</v>
      </c>
      <c r="H1495" s="5" t="s">
        <v>89</v>
      </c>
    </row>
    <row r="1496" spans="1:8">
      <c r="A1496" s="5" t="s">
        <v>156</v>
      </c>
      <c r="H1496" s="5" t="s">
        <v>89</v>
      </c>
    </row>
    <row r="1497" spans="1:8">
      <c r="A1497" s="6"/>
      <c r="H1497" s="5" t="s">
        <v>295</v>
      </c>
    </row>
    <row r="1498" spans="1:8">
      <c r="A1498" s="6"/>
      <c r="H1498" s="5" t="s">
        <v>160</v>
      </c>
    </row>
    <row r="1499" spans="1:8">
      <c r="A1499" s="6"/>
      <c r="H1499" s="5" t="s">
        <v>164</v>
      </c>
    </row>
    <row r="1500" spans="1:8">
      <c r="A1500" s="6"/>
      <c r="H1500" s="5" t="s">
        <v>164</v>
      </c>
    </row>
    <row r="1501" spans="1:8">
      <c r="A1501" s="5" t="s">
        <v>6</v>
      </c>
      <c r="H1501" s="5" t="s">
        <v>294</v>
      </c>
    </row>
    <row r="1502" spans="1:8">
      <c r="A1502" s="5" t="s">
        <v>40</v>
      </c>
      <c r="H1502" s="5" t="s">
        <v>291</v>
      </c>
    </row>
    <row r="1503" spans="1:8">
      <c r="A1503" s="6"/>
      <c r="H1503" s="5" t="s">
        <v>60</v>
      </c>
    </row>
    <row r="1504" spans="1:8">
      <c r="A1504" s="5" t="s">
        <v>41</v>
      </c>
      <c r="H1504" s="5" t="s">
        <v>60</v>
      </c>
    </row>
    <row r="1505" spans="1:8">
      <c r="A1505" s="6"/>
      <c r="H1505" s="5" t="s">
        <v>205</v>
      </c>
    </row>
    <row r="1506" spans="1:8">
      <c r="A1506" s="5" t="s">
        <v>42</v>
      </c>
      <c r="H1506" s="5" t="s">
        <v>245</v>
      </c>
    </row>
    <row r="1507" spans="1:8">
      <c r="A1507" s="6"/>
      <c r="H1507" s="5" t="s">
        <v>245</v>
      </c>
    </row>
    <row r="1508" spans="1:8">
      <c r="A1508" s="5" t="s">
        <v>43</v>
      </c>
      <c r="H1508" s="5" t="s">
        <v>245</v>
      </c>
    </row>
    <row r="1509" spans="1:8">
      <c r="A1509" s="5" t="s">
        <v>44</v>
      </c>
      <c r="H1509" s="5" t="s">
        <v>274</v>
      </c>
    </row>
    <row r="1510" spans="1:8">
      <c r="A1510" s="5" t="s">
        <v>45</v>
      </c>
      <c r="H1510" s="5" t="s">
        <v>142</v>
      </c>
    </row>
    <row r="1511" spans="1:8">
      <c r="A1511" s="5" t="s">
        <v>46</v>
      </c>
      <c r="H1511" s="5" t="s">
        <v>142</v>
      </c>
    </row>
    <row r="1512" spans="1:8">
      <c r="A1512" s="5" t="s">
        <v>47</v>
      </c>
      <c r="H1512" s="5" t="s">
        <v>142</v>
      </c>
    </row>
    <row r="1513" spans="1:8">
      <c r="A1513" s="5" t="s">
        <v>37</v>
      </c>
      <c r="H1513" s="5" t="s">
        <v>373</v>
      </c>
    </row>
    <row r="1514" spans="1:8">
      <c r="A1514" s="6"/>
      <c r="H1514" s="5" t="s">
        <v>373</v>
      </c>
    </row>
    <row r="1515" spans="1:8">
      <c r="A1515" s="5" t="s">
        <v>155</v>
      </c>
      <c r="H1515" s="5" t="s">
        <v>373</v>
      </c>
    </row>
    <row r="1516" spans="1:8">
      <c r="A1516" s="5" t="s">
        <v>156</v>
      </c>
      <c r="H1516" s="5" t="s">
        <v>272</v>
      </c>
    </row>
    <row r="1517" spans="1:8">
      <c r="A1517" s="6"/>
      <c r="H1517" s="5" t="s">
        <v>14</v>
      </c>
    </row>
    <row r="1518" spans="1:8">
      <c r="A1518" s="6"/>
      <c r="H1518" s="5" t="s">
        <v>14</v>
      </c>
    </row>
    <row r="1519" spans="1:8">
      <c r="A1519" s="5" t="s">
        <v>3</v>
      </c>
      <c r="H1519" s="5" t="s">
        <v>159</v>
      </c>
    </row>
    <row r="1520" spans="1:8">
      <c r="A1520" s="5" t="s">
        <v>4</v>
      </c>
      <c r="H1520" s="5" t="s">
        <v>163</v>
      </c>
    </row>
    <row r="1521" spans="1:8" hidden="1">
      <c r="A1521" s="5" t="s">
        <v>5</v>
      </c>
      <c r="H1521" s="5" t="s">
        <v>30</v>
      </c>
    </row>
    <row r="1522" spans="1:8" hidden="1">
      <c r="A1522" s="5" t="s">
        <v>6</v>
      </c>
      <c r="H1522" s="5" t="s">
        <v>30</v>
      </c>
    </row>
    <row r="1523" spans="1:8" hidden="1">
      <c r="A1523" s="5" t="s">
        <v>7</v>
      </c>
      <c r="H1523" s="5" t="s">
        <v>30</v>
      </c>
    </row>
    <row r="1524" spans="1:8" hidden="1">
      <c r="A1524" s="5" t="s">
        <v>6</v>
      </c>
      <c r="H1524" s="5" t="s">
        <v>30</v>
      </c>
    </row>
    <row r="1525" spans="1:8" hidden="1">
      <c r="A1525" s="5" t="s">
        <v>169</v>
      </c>
      <c r="H1525" s="5" t="s">
        <v>30</v>
      </c>
    </row>
    <row r="1526" spans="1:8" hidden="1">
      <c r="A1526" s="5" t="s">
        <v>170</v>
      </c>
      <c r="H1526" s="5" t="s">
        <v>30</v>
      </c>
    </row>
    <row r="1527" spans="1:8" hidden="1">
      <c r="A1527" s="6"/>
      <c r="H1527" s="5" t="s">
        <v>30</v>
      </c>
    </row>
    <row r="1528" spans="1:8" hidden="1">
      <c r="A1528" s="5" t="s">
        <v>15</v>
      </c>
      <c r="H1528" s="5" t="s">
        <v>30</v>
      </c>
    </row>
    <row r="1529" spans="1:8" hidden="1">
      <c r="A1529" s="5" t="s">
        <v>171</v>
      </c>
      <c r="H1529" s="5" t="s">
        <v>30</v>
      </c>
    </row>
    <row r="1530" spans="1:8" hidden="1">
      <c r="A1530" s="5" t="s">
        <v>172</v>
      </c>
      <c r="H1530" s="5" t="s">
        <v>30</v>
      </c>
    </row>
    <row r="1531" spans="1:8" hidden="1">
      <c r="A1531" s="5" t="s">
        <v>173</v>
      </c>
      <c r="H1531" s="5" t="s">
        <v>30</v>
      </c>
    </row>
    <row r="1532" spans="1:8" hidden="1">
      <c r="A1532" s="5" t="s">
        <v>174</v>
      </c>
      <c r="H1532" s="5" t="s">
        <v>30</v>
      </c>
    </row>
    <row r="1533" spans="1:8" hidden="1">
      <c r="A1533" s="5" t="s">
        <v>6</v>
      </c>
      <c r="H1533" s="5" t="s">
        <v>30</v>
      </c>
    </row>
    <row r="1534" spans="1:8" hidden="1">
      <c r="A1534" s="5" t="s">
        <v>175</v>
      </c>
      <c r="H1534" s="5" t="s">
        <v>30</v>
      </c>
    </row>
    <row r="1535" spans="1:8" hidden="1">
      <c r="A1535" s="5" t="s">
        <v>17</v>
      </c>
      <c r="H1535" s="5" t="s">
        <v>30</v>
      </c>
    </row>
    <row r="1536" spans="1:8" hidden="1">
      <c r="A1536" s="5" t="s">
        <v>176</v>
      </c>
      <c r="H1536" s="5" t="s">
        <v>30</v>
      </c>
    </row>
    <row r="1537" spans="1:8" hidden="1">
      <c r="A1537" s="6"/>
      <c r="H1537" s="5" t="s">
        <v>30</v>
      </c>
    </row>
    <row r="1538" spans="1:8" hidden="1">
      <c r="A1538" s="5" t="s">
        <v>18</v>
      </c>
      <c r="H1538" s="5" t="s">
        <v>30</v>
      </c>
    </row>
    <row r="1539" spans="1:8" hidden="1">
      <c r="A1539" s="7">
        <v>23980</v>
      </c>
      <c r="H1539" s="5" t="s">
        <v>30</v>
      </c>
    </row>
    <row r="1540" spans="1:8" hidden="1">
      <c r="A1540" s="6"/>
      <c r="H1540" s="5" t="s">
        <v>30</v>
      </c>
    </row>
    <row r="1541" spans="1:8" hidden="1">
      <c r="A1541" s="5" t="s">
        <v>19</v>
      </c>
      <c r="H1541" s="5" t="s">
        <v>30</v>
      </c>
    </row>
    <row r="1542" spans="1:8" hidden="1">
      <c r="A1542" s="5" t="s">
        <v>20</v>
      </c>
      <c r="H1542" s="5" t="s">
        <v>30</v>
      </c>
    </row>
    <row r="1543" spans="1:8" hidden="1">
      <c r="A1543" s="5" t="s">
        <v>21</v>
      </c>
      <c r="H1543" s="5" t="s">
        <v>30</v>
      </c>
    </row>
    <row r="1544" spans="1:8" hidden="1">
      <c r="A1544" s="5" t="s">
        <v>22</v>
      </c>
      <c r="H1544" s="5" t="s">
        <v>30</v>
      </c>
    </row>
    <row r="1545" spans="1:8" hidden="1">
      <c r="A1545" s="5" t="s">
        <v>23</v>
      </c>
      <c r="H1545" s="5" t="s">
        <v>30</v>
      </c>
    </row>
    <row r="1546" spans="1:8" hidden="1">
      <c r="A1546" s="5" t="s">
        <v>24</v>
      </c>
      <c r="H1546" s="5" t="s">
        <v>30</v>
      </c>
    </row>
    <row r="1547" spans="1:8" hidden="1">
      <c r="A1547" s="5" t="s">
        <v>25</v>
      </c>
      <c r="H1547" s="5" t="s">
        <v>30</v>
      </c>
    </row>
    <row r="1548" spans="1:8" hidden="1">
      <c r="A1548" s="5" t="s">
        <v>26</v>
      </c>
      <c r="H1548" s="5" t="s">
        <v>30</v>
      </c>
    </row>
    <row r="1549" spans="1:8" hidden="1">
      <c r="A1549" s="5" t="s">
        <v>27</v>
      </c>
      <c r="H1549" s="5" t="s">
        <v>30</v>
      </c>
    </row>
    <row r="1550" spans="1:8" hidden="1">
      <c r="A1550" s="5" t="s">
        <v>6</v>
      </c>
      <c r="H1550" s="5" t="s">
        <v>30</v>
      </c>
    </row>
    <row r="1551" spans="1:8" hidden="1">
      <c r="A1551" s="5" t="s">
        <v>28</v>
      </c>
      <c r="H1551" s="5" t="s">
        <v>30</v>
      </c>
    </row>
    <row r="1552" spans="1:8" hidden="1">
      <c r="A1552" s="5" t="s">
        <v>29</v>
      </c>
      <c r="H1552" s="5" t="s">
        <v>30</v>
      </c>
    </row>
    <row r="1553" spans="1:8" hidden="1">
      <c r="A1553" s="6"/>
      <c r="H1553" s="5" t="s">
        <v>30</v>
      </c>
    </row>
    <row r="1554" spans="1:8" hidden="1">
      <c r="A1554" s="6"/>
      <c r="H1554" s="5" t="s">
        <v>30</v>
      </c>
    </row>
    <row r="1555" spans="1:8" hidden="1">
      <c r="A1555" s="5" t="s">
        <v>6</v>
      </c>
      <c r="H1555" s="5" t="s">
        <v>30</v>
      </c>
    </row>
    <row r="1556" spans="1:8" hidden="1">
      <c r="A1556" s="5" t="s">
        <v>30</v>
      </c>
      <c r="H1556" s="5" t="s">
        <v>30</v>
      </c>
    </row>
    <row r="1557" spans="1:8" hidden="1">
      <c r="A1557" s="6"/>
      <c r="H1557" s="5" t="s">
        <v>30</v>
      </c>
    </row>
    <row r="1558" spans="1:8" hidden="1">
      <c r="A1558" s="5" t="s">
        <v>31</v>
      </c>
      <c r="H1558" s="5" t="s">
        <v>30</v>
      </c>
    </row>
    <row r="1559" spans="1:8" hidden="1">
      <c r="A1559" s="5" t="s">
        <v>32</v>
      </c>
      <c r="H1559" s="5" t="s">
        <v>30</v>
      </c>
    </row>
    <row r="1560" spans="1:8" hidden="1">
      <c r="A1560" s="5" t="s">
        <v>33</v>
      </c>
      <c r="H1560" s="5" t="s">
        <v>30</v>
      </c>
    </row>
    <row r="1561" spans="1:8" hidden="1">
      <c r="A1561" s="5" t="s">
        <v>34</v>
      </c>
      <c r="H1561" s="5" t="s">
        <v>30</v>
      </c>
    </row>
    <row r="1562" spans="1:8" hidden="1">
      <c r="A1562" s="5" t="s">
        <v>35</v>
      </c>
      <c r="H1562" s="5" t="s">
        <v>30</v>
      </c>
    </row>
    <row r="1563" spans="1:8" hidden="1">
      <c r="A1563" s="5" t="s">
        <v>36</v>
      </c>
      <c r="H1563" s="5" t="s">
        <v>30</v>
      </c>
    </row>
    <row r="1564" spans="1:8" hidden="1">
      <c r="A1564" s="5" t="s">
        <v>37</v>
      </c>
      <c r="H1564" s="5" t="s">
        <v>30</v>
      </c>
    </row>
    <row r="1565" spans="1:8" hidden="1">
      <c r="A1565" s="5" t="s">
        <v>38</v>
      </c>
      <c r="H1565" s="5" t="s">
        <v>30</v>
      </c>
    </row>
    <row r="1566" spans="1:8" hidden="1">
      <c r="A1566" s="5" t="s">
        <v>39</v>
      </c>
      <c r="H1566" s="5" t="s">
        <v>30</v>
      </c>
    </row>
    <row r="1567" spans="1:8" hidden="1">
      <c r="A1567" s="6"/>
      <c r="H1567" s="5" t="s">
        <v>30</v>
      </c>
    </row>
    <row r="1568" spans="1:8" hidden="1">
      <c r="A1568" s="5" t="s">
        <v>169</v>
      </c>
      <c r="H1568" s="5" t="s">
        <v>30</v>
      </c>
    </row>
    <row r="1569" spans="1:8" hidden="1">
      <c r="A1569" s="5" t="s">
        <v>170</v>
      </c>
      <c r="H1569" s="5" t="s">
        <v>30</v>
      </c>
    </row>
    <row r="1570" spans="1:8" hidden="1">
      <c r="A1570" s="6"/>
      <c r="H1570" s="5" t="s">
        <v>30</v>
      </c>
    </row>
    <row r="1571" spans="1:8" hidden="1">
      <c r="A1571" s="6"/>
      <c r="H1571" s="5" t="s">
        <v>30</v>
      </c>
    </row>
    <row r="1572" spans="1:8" hidden="1">
      <c r="A1572" s="5" t="s">
        <v>3</v>
      </c>
      <c r="H1572" s="5" t="s">
        <v>30</v>
      </c>
    </row>
    <row r="1573" spans="1:8" hidden="1">
      <c r="A1573" s="5" t="s">
        <v>4</v>
      </c>
      <c r="H1573" s="5" t="s">
        <v>30</v>
      </c>
    </row>
    <row r="1574" spans="1:8" hidden="1">
      <c r="A1574" s="5" t="s">
        <v>5</v>
      </c>
      <c r="H1574" s="5" t="s">
        <v>30</v>
      </c>
    </row>
    <row r="1575" spans="1:8" hidden="1">
      <c r="A1575" s="5" t="s">
        <v>6</v>
      </c>
      <c r="H1575" s="5" t="s">
        <v>30</v>
      </c>
    </row>
    <row r="1576" spans="1:8" hidden="1">
      <c r="A1576" s="5" t="s">
        <v>7</v>
      </c>
      <c r="H1576" s="5" t="s">
        <v>30</v>
      </c>
    </row>
    <row r="1577" spans="1:8" hidden="1">
      <c r="A1577" s="5" t="s">
        <v>6</v>
      </c>
      <c r="H1577" s="5" t="s">
        <v>30</v>
      </c>
    </row>
    <row r="1578" spans="1:8" hidden="1">
      <c r="A1578" s="5" t="s">
        <v>177</v>
      </c>
      <c r="H1578" s="5" t="s">
        <v>30</v>
      </c>
    </row>
    <row r="1579" spans="1:8" hidden="1">
      <c r="A1579" s="5" t="s">
        <v>178</v>
      </c>
      <c r="H1579" s="5" t="s">
        <v>30</v>
      </c>
    </row>
    <row r="1580" spans="1:8" hidden="1">
      <c r="A1580" s="6"/>
      <c r="H1580" s="5" t="s">
        <v>30</v>
      </c>
    </row>
    <row r="1581" spans="1:8" hidden="1">
      <c r="A1581" s="5" t="s">
        <v>179</v>
      </c>
      <c r="H1581" s="5" t="s">
        <v>30</v>
      </c>
    </row>
    <row r="1582" spans="1:8" hidden="1">
      <c r="A1582" s="5" t="s">
        <v>180</v>
      </c>
      <c r="H1582" s="5" t="s">
        <v>30</v>
      </c>
    </row>
    <row r="1583" spans="1:8" hidden="1">
      <c r="A1583" s="5" t="s">
        <v>181</v>
      </c>
      <c r="H1583" s="5" t="s">
        <v>30</v>
      </c>
    </row>
    <row r="1584" spans="1:8" hidden="1">
      <c r="A1584" s="5" t="s">
        <v>119</v>
      </c>
      <c r="H1584" s="5" t="s">
        <v>30</v>
      </c>
    </row>
    <row r="1585" spans="1:8" hidden="1">
      <c r="A1585" s="5" t="s">
        <v>6</v>
      </c>
      <c r="H1585" s="5" t="s">
        <v>46</v>
      </c>
    </row>
    <row r="1586" spans="1:8" hidden="1">
      <c r="A1586" s="5" t="s">
        <v>182</v>
      </c>
      <c r="H1586" s="5" t="s">
        <v>46</v>
      </c>
    </row>
    <row r="1587" spans="1:8" hidden="1">
      <c r="A1587" s="5" t="s">
        <v>63</v>
      </c>
      <c r="H1587" s="5" t="s">
        <v>46</v>
      </c>
    </row>
    <row r="1588" spans="1:8" hidden="1">
      <c r="A1588" s="5" t="s">
        <v>183</v>
      </c>
      <c r="H1588" s="5" t="s">
        <v>46</v>
      </c>
    </row>
    <row r="1589" spans="1:8" hidden="1">
      <c r="A1589" s="6"/>
      <c r="H1589" s="5" t="s">
        <v>46</v>
      </c>
    </row>
    <row r="1590" spans="1:8" hidden="1">
      <c r="A1590" s="5" t="s">
        <v>18</v>
      </c>
      <c r="H1590" s="5" t="s">
        <v>46</v>
      </c>
    </row>
    <row r="1591" spans="1:8" hidden="1">
      <c r="A1591" s="7">
        <v>37500</v>
      </c>
      <c r="H1591" s="5" t="s">
        <v>46</v>
      </c>
    </row>
    <row r="1592" spans="1:8" hidden="1">
      <c r="A1592" s="6"/>
      <c r="H1592" s="5" t="s">
        <v>46</v>
      </c>
    </row>
    <row r="1593" spans="1:8" hidden="1">
      <c r="A1593" s="5" t="s">
        <v>19</v>
      </c>
      <c r="H1593" s="5" t="s">
        <v>46</v>
      </c>
    </row>
    <row r="1594" spans="1:8" hidden="1">
      <c r="A1594" s="5" t="s">
        <v>20</v>
      </c>
      <c r="H1594" s="5" t="s">
        <v>46</v>
      </c>
    </row>
    <row r="1595" spans="1:8" hidden="1">
      <c r="A1595" s="5" t="s">
        <v>21</v>
      </c>
      <c r="H1595" s="5" t="s">
        <v>46</v>
      </c>
    </row>
    <row r="1596" spans="1:8" hidden="1">
      <c r="A1596" s="5" t="s">
        <v>22</v>
      </c>
      <c r="H1596" s="5" t="s">
        <v>46</v>
      </c>
    </row>
    <row r="1597" spans="1:8" hidden="1">
      <c r="A1597" s="5" t="s">
        <v>23</v>
      </c>
      <c r="H1597" s="5" t="s">
        <v>46</v>
      </c>
    </row>
    <row r="1598" spans="1:8" hidden="1">
      <c r="A1598" s="5" t="s">
        <v>24</v>
      </c>
      <c r="H1598" s="5" t="s">
        <v>46</v>
      </c>
    </row>
    <row r="1599" spans="1:8" hidden="1">
      <c r="A1599" s="5" t="s">
        <v>25</v>
      </c>
      <c r="H1599" s="5" t="s">
        <v>46</v>
      </c>
    </row>
    <row r="1600" spans="1:8" hidden="1">
      <c r="A1600" s="5" t="s">
        <v>26</v>
      </c>
      <c r="H1600" s="5" t="s">
        <v>46</v>
      </c>
    </row>
    <row r="1601" spans="1:8" hidden="1">
      <c r="A1601" s="5" t="s">
        <v>27</v>
      </c>
      <c r="H1601" s="5" t="s">
        <v>46</v>
      </c>
    </row>
    <row r="1602" spans="1:8" hidden="1">
      <c r="A1602" s="5" t="s">
        <v>6</v>
      </c>
      <c r="H1602" s="5" t="s">
        <v>46</v>
      </c>
    </row>
    <row r="1603" spans="1:8" hidden="1">
      <c r="A1603" s="5" t="s">
        <v>28</v>
      </c>
      <c r="H1603" s="5" t="s">
        <v>46</v>
      </c>
    </row>
    <row r="1604" spans="1:8" hidden="1">
      <c r="A1604" s="5" t="s">
        <v>29</v>
      </c>
      <c r="H1604" s="5" t="s">
        <v>46</v>
      </c>
    </row>
    <row r="1605" spans="1:8" hidden="1">
      <c r="A1605" s="6"/>
      <c r="H1605" s="5" t="s">
        <v>46</v>
      </c>
    </row>
    <row r="1606" spans="1:8" hidden="1">
      <c r="A1606" s="6"/>
      <c r="H1606" s="5" t="s">
        <v>46</v>
      </c>
    </row>
    <row r="1607" spans="1:8" hidden="1">
      <c r="A1607" s="5" t="s">
        <v>6</v>
      </c>
      <c r="H1607" s="5" t="s">
        <v>46</v>
      </c>
    </row>
    <row r="1608" spans="1:8" hidden="1">
      <c r="A1608" s="5" t="s">
        <v>30</v>
      </c>
      <c r="H1608" s="5" t="s">
        <v>46</v>
      </c>
    </row>
    <row r="1609" spans="1:8" hidden="1">
      <c r="A1609" s="6"/>
      <c r="H1609" s="5" t="s">
        <v>46</v>
      </c>
    </row>
    <row r="1610" spans="1:8" hidden="1">
      <c r="A1610" s="5" t="s">
        <v>31</v>
      </c>
      <c r="H1610" s="5" t="s">
        <v>46</v>
      </c>
    </row>
    <row r="1611" spans="1:8" hidden="1">
      <c r="A1611" s="5" t="s">
        <v>32</v>
      </c>
      <c r="H1611" s="5" t="s">
        <v>46</v>
      </c>
    </row>
    <row r="1612" spans="1:8" hidden="1">
      <c r="A1612" s="5" t="s">
        <v>33</v>
      </c>
      <c r="H1612" s="5" t="s">
        <v>46</v>
      </c>
    </row>
    <row r="1613" spans="1:8" hidden="1">
      <c r="A1613" s="5" t="s">
        <v>34</v>
      </c>
      <c r="H1613" s="5" t="s">
        <v>46</v>
      </c>
    </row>
    <row r="1614" spans="1:8" hidden="1">
      <c r="A1614" s="5" t="s">
        <v>35</v>
      </c>
      <c r="H1614" s="5" t="s">
        <v>46</v>
      </c>
    </row>
    <row r="1615" spans="1:8" hidden="1">
      <c r="A1615" s="5" t="s">
        <v>36</v>
      </c>
      <c r="H1615" s="5" t="s">
        <v>46</v>
      </c>
    </row>
    <row r="1616" spans="1:8" hidden="1">
      <c r="A1616" s="5" t="s">
        <v>37</v>
      </c>
      <c r="H1616" s="5" t="s">
        <v>46</v>
      </c>
    </row>
    <row r="1617" spans="1:8" hidden="1">
      <c r="A1617" s="5" t="s">
        <v>38</v>
      </c>
      <c r="H1617" s="5" t="s">
        <v>46</v>
      </c>
    </row>
    <row r="1618" spans="1:8" hidden="1">
      <c r="A1618" s="5" t="s">
        <v>39</v>
      </c>
      <c r="H1618" s="5" t="s">
        <v>46</v>
      </c>
    </row>
    <row r="1619" spans="1:8" hidden="1">
      <c r="A1619" s="6"/>
      <c r="H1619" s="5" t="s">
        <v>46</v>
      </c>
    </row>
    <row r="1620" spans="1:8" hidden="1">
      <c r="A1620" s="5" t="s">
        <v>177</v>
      </c>
      <c r="H1620" s="5" t="s">
        <v>46</v>
      </c>
    </row>
    <row r="1621" spans="1:8" hidden="1">
      <c r="A1621" s="5" t="s">
        <v>178</v>
      </c>
      <c r="H1621" s="5" t="s">
        <v>46</v>
      </c>
    </row>
    <row r="1622" spans="1:8" hidden="1">
      <c r="A1622" s="6"/>
      <c r="H1622" s="5" t="s">
        <v>46</v>
      </c>
    </row>
    <row r="1623" spans="1:8" hidden="1">
      <c r="A1623" s="6"/>
      <c r="H1623" s="5" t="s">
        <v>46</v>
      </c>
    </row>
    <row r="1624" spans="1:8" hidden="1">
      <c r="A1624" s="6"/>
      <c r="H1624" s="5" t="s">
        <v>46</v>
      </c>
    </row>
    <row r="1625" spans="1:8" hidden="1">
      <c r="A1625" s="6"/>
      <c r="H1625" s="5" t="s">
        <v>46</v>
      </c>
    </row>
    <row r="1626" spans="1:8" hidden="1">
      <c r="A1626" s="5" t="s">
        <v>6</v>
      </c>
      <c r="H1626" s="5" t="s">
        <v>46</v>
      </c>
    </row>
    <row r="1627" spans="1:8" hidden="1">
      <c r="A1627" s="5" t="s">
        <v>40</v>
      </c>
      <c r="H1627" s="5" t="s">
        <v>46</v>
      </c>
    </row>
    <row r="1628" spans="1:8" hidden="1">
      <c r="A1628" s="6"/>
      <c r="H1628" s="5" t="s">
        <v>46</v>
      </c>
    </row>
    <row r="1629" spans="1:8" hidden="1">
      <c r="A1629" s="5" t="s">
        <v>41</v>
      </c>
      <c r="H1629" s="5" t="s">
        <v>46</v>
      </c>
    </row>
    <row r="1630" spans="1:8" hidden="1">
      <c r="A1630" s="6"/>
      <c r="H1630" s="5" t="s">
        <v>46</v>
      </c>
    </row>
    <row r="1631" spans="1:8" hidden="1">
      <c r="A1631" s="5" t="s">
        <v>42</v>
      </c>
      <c r="H1631" s="5" t="s">
        <v>46</v>
      </c>
    </row>
    <row r="1632" spans="1:8" hidden="1">
      <c r="A1632" s="6"/>
      <c r="H1632" s="5" t="s">
        <v>36</v>
      </c>
    </row>
    <row r="1633" spans="1:8" hidden="1">
      <c r="A1633" s="5" t="s">
        <v>43</v>
      </c>
      <c r="H1633" s="5" t="s">
        <v>36</v>
      </c>
    </row>
    <row r="1634" spans="1:8" hidden="1">
      <c r="A1634" s="5" t="s">
        <v>44</v>
      </c>
      <c r="H1634" s="5" t="s">
        <v>36</v>
      </c>
    </row>
    <row r="1635" spans="1:8" hidden="1">
      <c r="A1635" s="5" t="s">
        <v>45</v>
      </c>
      <c r="H1635" s="5" t="s">
        <v>36</v>
      </c>
    </row>
    <row r="1636" spans="1:8" hidden="1">
      <c r="A1636" s="5" t="s">
        <v>46</v>
      </c>
      <c r="H1636" s="5" t="s">
        <v>36</v>
      </c>
    </row>
    <row r="1637" spans="1:8" hidden="1">
      <c r="A1637" s="5" t="s">
        <v>47</v>
      </c>
      <c r="H1637" s="5" t="s">
        <v>36</v>
      </c>
    </row>
    <row r="1638" spans="1:8" hidden="1">
      <c r="A1638" s="5" t="s">
        <v>37</v>
      </c>
      <c r="H1638" s="5" t="s">
        <v>36</v>
      </c>
    </row>
    <row r="1639" spans="1:8" hidden="1">
      <c r="A1639" s="6"/>
      <c r="H1639" s="5" t="s">
        <v>36</v>
      </c>
    </row>
    <row r="1640" spans="1:8" hidden="1">
      <c r="A1640" s="5" t="s">
        <v>177</v>
      </c>
      <c r="H1640" s="5" t="s">
        <v>36</v>
      </c>
    </row>
    <row r="1641" spans="1:8" hidden="1">
      <c r="A1641" s="5" t="s">
        <v>178</v>
      </c>
      <c r="H1641" s="5" t="s">
        <v>36</v>
      </c>
    </row>
    <row r="1642" spans="1:8" hidden="1">
      <c r="A1642" s="6"/>
      <c r="H1642" s="5" t="s">
        <v>36</v>
      </c>
    </row>
    <row r="1643" spans="1:8" hidden="1">
      <c r="A1643" s="6"/>
      <c r="H1643" s="5" t="s">
        <v>36</v>
      </c>
    </row>
    <row r="1644" spans="1:8" hidden="1">
      <c r="A1644" s="5" t="s">
        <v>3</v>
      </c>
      <c r="H1644" s="5" t="s">
        <v>36</v>
      </c>
    </row>
    <row r="1645" spans="1:8" hidden="1">
      <c r="A1645" s="5" t="s">
        <v>4</v>
      </c>
      <c r="H1645" s="5" t="s">
        <v>36</v>
      </c>
    </row>
    <row r="1646" spans="1:8" hidden="1">
      <c r="A1646" s="5" t="s">
        <v>5</v>
      </c>
      <c r="H1646" s="5" t="s">
        <v>36</v>
      </c>
    </row>
    <row r="1647" spans="1:8" hidden="1">
      <c r="A1647" s="5" t="s">
        <v>6</v>
      </c>
      <c r="H1647" s="5" t="s">
        <v>36</v>
      </c>
    </row>
    <row r="1648" spans="1:8" hidden="1">
      <c r="A1648" s="5" t="s">
        <v>7</v>
      </c>
      <c r="H1648" s="5" t="s">
        <v>36</v>
      </c>
    </row>
    <row r="1649" spans="1:8" hidden="1">
      <c r="A1649" s="5" t="s">
        <v>6</v>
      </c>
      <c r="H1649" s="5" t="s">
        <v>36</v>
      </c>
    </row>
    <row r="1650" spans="1:8" hidden="1">
      <c r="A1650" s="5" t="s">
        <v>184</v>
      </c>
      <c r="H1650" s="5" t="s">
        <v>36</v>
      </c>
    </row>
    <row r="1651" spans="1:8" hidden="1">
      <c r="A1651" s="5" t="s">
        <v>185</v>
      </c>
      <c r="H1651" s="5" t="s">
        <v>36</v>
      </c>
    </row>
    <row r="1652" spans="1:8" hidden="1">
      <c r="A1652" s="6"/>
      <c r="H1652" s="5" t="s">
        <v>36</v>
      </c>
    </row>
    <row r="1653" spans="1:8" hidden="1">
      <c r="A1653" s="5" t="s">
        <v>50</v>
      </c>
      <c r="H1653" s="5" t="s">
        <v>36</v>
      </c>
    </row>
    <row r="1654" spans="1:8" hidden="1">
      <c r="A1654" s="5" t="s">
        <v>103</v>
      </c>
      <c r="H1654" s="5" t="s">
        <v>36</v>
      </c>
    </row>
    <row r="1655" spans="1:8" hidden="1">
      <c r="A1655" s="5" t="s">
        <v>6</v>
      </c>
      <c r="H1655" s="5" t="s">
        <v>36</v>
      </c>
    </row>
    <row r="1656" spans="1:8" hidden="1">
      <c r="A1656" s="5" t="s">
        <v>51</v>
      </c>
      <c r="H1656" s="5" t="s">
        <v>36</v>
      </c>
    </row>
    <row r="1657" spans="1:8" hidden="1">
      <c r="A1657" s="5" t="s">
        <v>52</v>
      </c>
      <c r="H1657" s="5" t="s">
        <v>36</v>
      </c>
    </row>
    <row r="1658" spans="1:8" hidden="1">
      <c r="A1658" s="5" t="s">
        <v>53</v>
      </c>
      <c r="H1658" s="5" t="s">
        <v>36</v>
      </c>
    </row>
    <row r="1659" spans="1:8" hidden="1">
      <c r="A1659" s="6"/>
      <c r="H1659" s="5" t="s">
        <v>36</v>
      </c>
    </row>
    <row r="1660" spans="1:8" hidden="1">
      <c r="A1660" s="5" t="s">
        <v>19</v>
      </c>
      <c r="H1660" s="5" t="s">
        <v>36</v>
      </c>
    </row>
    <row r="1661" spans="1:8" hidden="1">
      <c r="A1661" s="5" t="s">
        <v>20</v>
      </c>
      <c r="H1661" s="5" t="s">
        <v>36</v>
      </c>
    </row>
    <row r="1662" spans="1:8" hidden="1">
      <c r="A1662" s="5" t="s">
        <v>21</v>
      </c>
      <c r="H1662" s="5" t="s">
        <v>36</v>
      </c>
    </row>
    <row r="1663" spans="1:8" hidden="1">
      <c r="A1663" s="5" t="s">
        <v>22</v>
      </c>
      <c r="H1663" s="5" t="s">
        <v>36</v>
      </c>
    </row>
    <row r="1664" spans="1:8" hidden="1">
      <c r="A1664" s="5" t="s">
        <v>23</v>
      </c>
      <c r="H1664" s="5" t="s">
        <v>36</v>
      </c>
    </row>
    <row r="1665" spans="1:8" hidden="1">
      <c r="A1665" s="5" t="s">
        <v>24</v>
      </c>
      <c r="H1665" s="5" t="s">
        <v>36</v>
      </c>
    </row>
    <row r="1666" spans="1:8" hidden="1">
      <c r="A1666" s="5" t="s">
        <v>25</v>
      </c>
      <c r="H1666" s="5" t="s">
        <v>36</v>
      </c>
    </row>
    <row r="1667" spans="1:8" hidden="1">
      <c r="A1667" s="5" t="s">
        <v>26</v>
      </c>
      <c r="H1667" s="5" t="s">
        <v>36</v>
      </c>
    </row>
    <row r="1668" spans="1:8" hidden="1">
      <c r="A1668" s="5" t="s">
        <v>27</v>
      </c>
      <c r="H1668" s="5" t="s">
        <v>36</v>
      </c>
    </row>
    <row r="1669" spans="1:8" hidden="1">
      <c r="A1669" s="5" t="s">
        <v>6</v>
      </c>
      <c r="H1669" s="5" t="s">
        <v>36</v>
      </c>
    </row>
    <row r="1670" spans="1:8" hidden="1">
      <c r="A1670" s="5" t="s">
        <v>28</v>
      </c>
      <c r="H1670" s="5" t="s">
        <v>36</v>
      </c>
    </row>
    <row r="1671" spans="1:8" hidden="1">
      <c r="A1671" s="5" t="s">
        <v>29</v>
      </c>
      <c r="H1671" s="5" t="s">
        <v>36</v>
      </c>
    </row>
    <row r="1672" spans="1:8" hidden="1">
      <c r="A1672" s="6"/>
      <c r="H1672" s="5" t="s">
        <v>36</v>
      </c>
    </row>
    <row r="1673" spans="1:8" hidden="1">
      <c r="A1673" s="6"/>
      <c r="H1673" s="5" t="s">
        <v>36</v>
      </c>
    </row>
    <row r="1674" spans="1:8" hidden="1">
      <c r="A1674" s="5" t="s">
        <v>6</v>
      </c>
      <c r="H1674" s="5" t="s">
        <v>36</v>
      </c>
    </row>
    <row r="1675" spans="1:8" hidden="1">
      <c r="A1675" s="5" t="s">
        <v>30</v>
      </c>
      <c r="H1675" s="5" t="s">
        <v>36</v>
      </c>
    </row>
    <row r="1676" spans="1:8" hidden="1">
      <c r="A1676" s="6"/>
      <c r="H1676" s="5" t="s">
        <v>36</v>
      </c>
    </row>
    <row r="1677" spans="1:8" hidden="1">
      <c r="A1677" s="5" t="s">
        <v>31</v>
      </c>
      <c r="H1677" s="5" t="s">
        <v>36</v>
      </c>
    </row>
    <row r="1678" spans="1:8" hidden="1">
      <c r="A1678" s="5" t="s">
        <v>32</v>
      </c>
      <c r="H1678" s="5" t="s">
        <v>36</v>
      </c>
    </row>
    <row r="1679" spans="1:8" hidden="1">
      <c r="A1679" s="5" t="s">
        <v>33</v>
      </c>
      <c r="H1679" s="5" t="s">
        <v>36</v>
      </c>
    </row>
    <row r="1680" spans="1:8" hidden="1">
      <c r="A1680" s="5" t="s">
        <v>34</v>
      </c>
      <c r="H1680" s="5" t="s">
        <v>36</v>
      </c>
    </row>
    <row r="1681" spans="1:8" hidden="1">
      <c r="A1681" s="5" t="s">
        <v>35</v>
      </c>
      <c r="H1681" s="5" t="s">
        <v>36</v>
      </c>
    </row>
    <row r="1682" spans="1:8" hidden="1">
      <c r="A1682" s="5" t="s">
        <v>36</v>
      </c>
      <c r="H1682" s="5" t="s">
        <v>36</v>
      </c>
    </row>
    <row r="1683" spans="1:8" hidden="1">
      <c r="A1683" s="5" t="s">
        <v>37</v>
      </c>
      <c r="H1683" s="5" t="s">
        <v>36</v>
      </c>
    </row>
    <row r="1684" spans="1:8" hidden="1">
      <c r="A1684" s="5" t="s">
        <v>38</v>
      </c>
      <c r="H1684" s="5" t="s">
        <v>36</v>
      </c>
    </row>
    <row r="1685" spans="1:8" hidden="1">
      <c r="A1685" s="5" t="s">
        <v>39</v>
      </c>
      <c r="H1685" s="5" t="s">
        <v>36</v>
      </c>
    </row>
    <row r="1686" spans="1:8" hidden="1">
      <c r="A1686" s="6"/>
      <c r="H1686" s="5" t="s">
        <v>36</v>
      </c>
    </row>
    <row r="1687" spans="1:8" hidden="1">
      <c r="A1687" s="5" t="s">
        <v>184</v>
      </c>
      <c r="H1687" s="5" t="s">
        <v>36</v>
      </c>
    </row>
    <row r="1688" spans="1:8" hidden="1">
      <c r="A1688" s="5" t="s">
        <v>185</v>
      </c>
      <c r="H1688" s="5" t="s">
        <v>36</v>
      </c>
    </row>
    <row r="1689" spans="1:8" hidden="1">
      <c r="A1689" s="6"/>
      <c r="H1689" s="5" t="s">
        <v>36</v>
      </c>
    </row>
    <row r="1690" spans="1:8" hidden="1">
      <c r="A1690" s="6"/>
      <c r="H1690" s="5" t="s">
        <v>36</v>
      </c>
    </row>
    <row r="1691" spans="1:8" hidden="1">
      <c r="A1691" s="6"/>
      <c r="H1691" s="5" t="s">
        <v>36</v>
      </c>
    </row>
    <row r="1692" spans="1:8" hidden="1">
      <c r="A1692" s="6"/>
      <c r="H1692" s="5" t="s">
        <v>36</v>
      </c>
    </row>
    <row r="1693" spans="1:8" hidden="1">
      <c r="A1693" s="5" t="s">
        <v>6</v>
      </c>
      <c r="H1693" s="5" t="s">
        <v>36</v>
      </c>
    </row>
    <row r="1694" spans="1:8" hidden="1">
      <c r="A1694" s="5" t="s">
        <v>40</v>
      </c>
      <c r="H1694" s="5" t="s">
        <v>36</v>
      </c>
    </row>
    <row r="1695" spans="1:8" hidden="1">
      <c r="A1695" s="6"/>
      <c r="H1695" s="5" t="s">
        <v>36</v>
      </c>
    </row>
    <row r="1696" spans="1:8" hidden="1">
      <c r="A1696" s="5" t="s">
        <v>41</v>
      </c>
      <c r="H1696" s="5" t="s">
        <v>34</v>
      </c>
    </row>
    <row r="1697" spans="1:8" hidden="1">
      <c r="A1697" s="6"/>
      <c r="H1697" s="5" t="s">
        <v>34</v>
      </c>
    </row>
    <row r="1698" spans="1:8" hidden="1">
      <c r="A1698" s="5" t="s">
        <v>42</v>
      </c>
      <c r="H1698" s="5" t="s">
        <v>34</v>
      </c>
    </row>
    <row r="1699" spans="1:8" hidden="1">
      <c r="A1699" s="6"/>
      <c r="H1699" s="5" t="s">
        <v>34</v>
      </c>
    </row>
    <row r="1700" spans="1:8" hidden="1">
      <c r="A1700" s="5" t="s">
        <v>43</v>
      </c>
      <c r="H1700" s="5" t="s">
        <v>34</v>
      </c>
    </row>
    <row r="1701" spans="1:8" hidden="1">
      <c r="A1701" s="5" t="s">
        <v>44</v>
      </c>
      <c r="H1701" s="5" t="s">
        <v>34</v>
      </c>
    </row>
    <row r="1702" spans="1:8" hidden="1">
      <c r="A1702" s="5" t="s">
        <v>45</v>
      </c>
      <c r="H1702" s="5" t="s">
        <v>34</v>
      </c>
    </row>
    <row r="1703" spans="1:8" hidden="1">
      <c r="A1703" s="5" t="s">
        <v>46</v>
      </c>
      <c r="H1703" s="5" t="s">
        <v>34</v>
      </c>
    </row>
    <row r="1704" spans="1:8" hidden="1">
      <c r="A1704" s="5" t="s">
        <v>47</v>
      </c>
      <c r="H1704" s="5" t="s">
        <v>34</v>
      </c>
    </row>
    <row r="1705" spans="1:8" hidden="1">
      <c r="A1705" s="5" t="s">
        <v>37</v>
      </c>
      <c r="H1705" s="5" t="s">
        <v>34</v>
      </c>
    </row>
    <row r="1706" spans="1:8" hidden="1">
      <c r="A1706" s="6"/>
      <c r="H1706" s="5" t="s">
        <v>34</v>
      </c>
    </row>
    <row r="1707" spans="1:8" hidden="1">
      <c r="A1707" s="5" t="s">
        <v>184</v>
      </c>
      <c r="H1707" s="5" t="s">
        <v>34</v>
      </c>
    </row>
    <row r="1708" spans="1:8" hidden="1">
      <c r="A1708" s="5" t="s">
        <v>185</v>
      </c>
      <c r="H1708" s="5" t="s">
        <v>34</v>
      </c>
    </row>
    <row r="1709" spans="1:8" hidden="1">
      <c r="A1709" s="6"/>
      <c r="H1709" s="5" t="s">
        <v>34</v>
      </c>
    </row>
    <row r="1710" spans="1:8" hidden="1">
      <c r="A1710" s="6"/>
      <c r="H1710" s="5" t="s">
        <v>34</v>
      </c>
    </row>
    <row r="1711" spans="1:8" hidden="1">
      <c r="A1711" s="5" t="s">
        <v>3</v>
      </c>
      <c r="H1711" s="5" t="s">
        <v>34</v>
      </c>
    </row>
    <row r="1712" spans="1:8" hidden="1">
      <c r="A1712" s="5" t="s">
        <v>4</v>
      </c>
      <c r="H1712" s="5" t="s">
        <v>34</v>
      </c>
    </row>
    <row r="1713" spans="1:8" hidden="1">
      <c r="A1713" s="5" t="s">
        <v>5</v>
      </c>
      <c r="H1713" s="5" t="s">
        <v>34</v>
      </c>
    </row>
    <row r="1714" spans="1:8" hidden="1">
      <c r="A1714" s="5" t="s">
        <v>6</v>
      </c>
      <c r="H1714" s="5" t="s">
        <v>34</v>
      </c>
    </row>
    <row r="1715" spans="1:8" hidden="1">
      <c r="A1715" s="5" t="s">
        <v>7</v>
      </c>
      <c r="H1715" s="5" t="s">
        <v>34</v>
      </c>
    </row>
    <row r="1716" spans="1:8" hidden="1">
      <c r="A1716" s="5" t="s">
        <v>6</v>
      </c>
      <c r="H1716" s="5" t="s">
        <v>34</v>
      </c>
    </row>
    <row r="1717" spans="1:8" hidden="1">
      <c r="A1717" s="5" t="s">
        <v>186</v>
      </c>
      <c r="H1717" s="5" t="s">
        <v>34</v>
      </c>
    </row>
    <row r="1718" spans="1:8" hidden="1">
      <c r="A1718" s="5" t="s">
        <v>187</v>
      </c>
      <c r="H1718" s="5" t="s">
        <v>34</v>
      </c>
    </row>
    <row r="1719" spans="1:8" hidden="1">
      <c r="A1719" s="6"/>
      <c r="H1719" s="5" t="s">
        <v>34</v>
      </c>
    </row>
    <row r="1720" spans="1:8" hidden="1">
      <c r="A1720" s="5" t="s">
        <v>106</v>
      </c>
      <c r="H1720" s="5" t="s">
        <v>34</v>
      </c>
    </row>
    <row r="1721" spans="1:8" hidden="1">
      <c r="A1721" s="5" t="s">
        <v>15</v>
      </c>
      <c r="H1721" s="5" t="s">
        <v>34</v>
      </c>
    </row>
    <row r="1722" spans="1:8" hidden="1">
      <c r="A1722" s="5" t="s">
        <v>6</v>
      </c>
      <c r="H1722" s="5" t="s">
        <v>34</v>
      </c>
    </row>
    <row r="1723" spans="1:8" hidden="1">
      <c r="A1723" s="5" t="s">
        <v>91</v>
      </c>
      <c r="H1723" s="5" t="s">
        <v>34</v>
      </c>
    </row>
    <row r="1724" spans="1:8" hidden="1">
      <c r="A1724" s="5" t="s">
        <v>188</v>
      </c>
      <c r="H1724" s="5" t="s">
        <v>34</v>
      </c>
    </row>
    <row r="1725" spans="1:8" hidden="1">
      <c r="A1725" s="6"/>
      <c r="H1725" s="5" t="s">
        <v>34</v>
      </c>
    </row>
    <row r="1726" spans="1:8" hidden="1">
      <c r="A1726" s="5" t="s">
        <v>19</v>
      </c>
      <c r="H1726" s="5" t="s">
        <v>34</v>
      </c>
    </row>
    <row r="1727" spans="1:8" hidden="1">
      <c r="A1727" s="5" t="s">
        <v>20</v>
      </c>
      <c r="H1727" s="5" t="s">
        <v>34</v>
      </c>
    </row>
    <row r="1728" spans="1:8" hidden="1">
      <c r="A1728" s="5" t="s">
        <v>21</v>
      </c>
      <c r="H1728" s="5" t="s">
        <v>34</v>
      </c>
    </row>
    <row r="1729" spans="1:8" hidden="1">
      <c r="A1729" s="5" t="s">
        <v>22</v>
      </c>
      <c r="H1729" s="5" t="s">
        <v>34</v>
      </c>
    </row>
    <row r="1730" spans="1:8" hidden="1">
      <c r="A1730" s="5" t="s">
        <v>23</v>
      </c>
      <c r="H1730" s="5" t="s">
        <v>34</v>
      </c>
    </row>
    <row r="1731" spans="1:8" hidden="1">
      <c r="A1731" s="5" t="s">
        <v>24</v>
      </c>
      <c r="H1731" s="5" t="s">
        <v>34</v>
      </c>
    </row>
    <row r="1732" spans="1:8" hidden="1">
      <c r="A1732" s="5" t="s">
        <v>25</v>
      </c>
      <c r="H1732" s="5" t="s">
        <v>34</v>
      </c>
    </row>
    <row r="1733" spans="1:8" hidden="1">
      <c r="A1733" s="5" t="s">
        <v>26</v>
      </c>
      <c r="H1733" s="5" t="s">
        <v>34</v>
      </c>
    </row>
    <row r="1734" spans="1:8" hidden="1">
      <c r="A1734" s="5" t="s">
        <v>27</v>
      </c>
      <c r="H1734" s="5" t="s">
        <v>34</v>
      </c>
    </row>
    <row r="1735" spans="1:8" hidden="1">
      <c r="A1735" s="5" t="s">
        <v>6</v>
      </c>
      <c r="H1735" s="5" t="s">
        <v>34</v>
      </c>
    </row>
    <row r="1736" spans="1:8" hidden="1">
      <c r="A1736" s="5" t="s">
        <v>28</v>
      </c>
      <c r="H1736" s="5" t="s">
        <v>34</v>
      </c>
    </row>
    <row r="1737" spans="1:8" hidden="1">
      <c r="A1737" s="5" t="s">
        <v>29</v>
      </c>
      <c r="H1737" s="5" t="s">
        <v>34</v>
      </c>
    </row>
    <row r="1738" spans="1:8" hidden="1">
      <c r="A1738" s="6"/>
      <c r="H1738" s="5" t="s">
        <v>34</v>
      </c>
    </row>
    <row r="1739" spans="1:8" hidden="1">
      <c r="A1739" s="6"/>
      <c r="H1739" s="5" t="s">
        <v>34</v>
      </c>
    </row>
    <row r="1740" spans="1:8" hidden="1">
      <c r="A1740" s="5" t="s">
        <v>6</v>
      </c>
      <c r="H1740" s="5" t="s">
        <v>34</v>
      </c>
    </row>
    <row r="1741" spans="1:8" hidden="1">
      <c r="A1741" s="5" t="s">
        <v>30</v>
      </c>
      <c r="H1741" s="5" t="s">
        <v>34</v>
      </c>
    </row>
    <row r="1742" spans="1:8" hidden="1">
      <c r="A1742" s="6"/>
      <c r="H1742" s="5" t="s">
        <v>34</v>
      </c>
    </row>
    <row r="1743" spans="1:8" hidden="1">
      <c r="A1743" s="5" t="s">
        <v>31</v>
      </c>
      <c r="H1743" s="5" t="s">
        <v>34</v>
      </c>
    </row>
    <row r="1744" spans="1:8" hidden="1">
      <c r="A1744" s="5" t="s">
        <v>32</v>
      </c>
      <c r="H1744" s="5" t="s">
        <v>34</v>
      </c>
    </row>
    <row r="1745" spans="1:8" hidden="1">
      <c r="A1745" s="5" t="s">
        <v>33</v>
      </c>
      <c r="H1745" s="5" t="s">
        <v>34</v>
      </c>
    </row>
    <row r="1746" spans="1:8" hidden="1">
      <c r="A1746" s="5" t="s">
        <v>34</v>
      </c>
      <c r="H1746" s="5" t="s">
        <v>34</v>
      </c>
    </row>
    <row r="1747" spans="1:8" hidden="1">
      <c r="A1747" s="5" t="s">
        <v>35</v>
      </c>
      <c r="H1747" s="5" t="s">
        <v>34</v>
      </c>
    </row>
    <row r="1748" spans="1:8" hidden="1">
      <c r="A1748" s="5" t="s">
        <v>36</v>
      </c>
      <c r="H1748" s="5" t="s">
        <v>34</v>
      </c>
    </row>
    <row r="1749" spans="1:8" hidden="1">
      <c r="A1749" s="5" t="s">
        <v>37</v>
      </c>
      <c r="H1749" s="5" t="s">
        <v>34</v>
      </c>
    </row>
    <row r="1750" spans="1:8" hidden="1">
      <c r="A1750" s="5" t="s">
        <v>38</v>
      </c>
      <c r="H1750" s="5" t="s">
        <v>34</v>
      </c>
    </row>
    <row r="1751" spans="1:8" hidden="1">
      <c r="A1751" s="5" t="s">
        <v>39</v>
      </c>
      <c r="H1751" s="5" t="s">
        <v>34</v>
      </c>
    </row>
    <row r="1752" spans="1:8" hidden="1">
      <c r="A1752" s="6"/>
      <c r="H1752" s="5" t="s">
        <v>34</v>
      </c>
    </row>
    <row r="1753" spans="1:8" hidden="1">
      <c r="A1753" s="5" t="s">
        <v>186</v>
      </c>
      <c r="H1753" s="5" t="s">
        <v>34</v>
      </c>
    </row>
    <row r="1754" spans="1:8" hidden="1">
      <c r="A1754" s="5" t="s">
        <v>187</v>
      </c>
      <c r="H1754" s="5" t="s">
        <v>34</v>
      </c>
    </row>
    <row r="1755" spans="1:8" hidden="1">
      <c r="A1755" s="6"/>
      <c r="H1755" s="5" t="s">
        <v>34</v>
      </c>
    </row>
    <row r="1756" spans="1:8" hidden="1">
      <c r="A1756" s="6"/>
      <c r="H1756" s="5" t="s">
        <v>34</v>
      </c>
    </row>
    <row r="1757" spans="1:8" hidden="1">
      <c r="A1757" s="6"/>
      <c r="H1757" s="5" t="s">
        <v>34</v>
      </c>
    </row>
    <row r="1758" spans="1:8" hidden="1">
      <c r="A1758" s="6"/>
      <c r="H1758" s="5" t="s">
        <v>34</v>
      </c>
    </row>
    <row r="1759" spans="1:8" hidden="1">
      <c r="A1759" s="5" t="s">
        <v>6</v>
      </c>
      <c r="H1759" s="5" t="s">
        <v>34</v>
      </c>
    </row>
    <row r="1760" spans="1:8" hidden="1">
      <c r="A1760" s="5" t="s">
        <v>40</v>
      </c>
      <c r="H1760" s="5" t="s">
        <v>309</v>
      </c>
    </row>
    <row r="1761" spans="1:8" hidden="1">
      <c r="A1761" s="6"/>
      <c r="H1761" s="5" t="s">
        <v>305</v>
      </c>
    </row>
    <row r="1762" spans="1:8" hidden="1">
      <c r="A1762" s="5" t="s">
        <v>41</v>
      </c>
      <c r="H1762" s="5" t="s">
        <v>44</v>
      </c>
    </row>
    <row r="1763" spans="1:8" hidden="1">
      <c r="A1763" s="6"/>
      <c r="H1763" s="5" t="s">
        <v>44</v>
      </c>
    </row>
    <row r="1764" spans="1:8" hidden="1">
      <c r="A1764" s="5" t="s">
        <v>42</v>
      </c>
      <c r="H1764" s="5" t="s">
        <v>44</v>
      </c>
    </row>
    <row r="1765" spans="1:8" hidden="1">
      <c r="A1765" s="6"/>
      <c r="H1765" s="5" t="s">
        <v>44</v>
      </c>
    </row>
    <row r="1766" spans="1:8" hidden="1">
      <c r="A1766" s="5" t="s">
        <v>43</v>
      </c>
      <c r="H1766" s="5" t="s">
        <v>44</v>
      </c>
    </row>
    <row r="1767" spans="1:8" hidden="1">
      <c r="A1767" s="5" t="s">
        <v>44</v>
      </c>
      <c r="H1767" s="5" t="s">
        <v>44</v>
      </c>
    </row>
    <row r="1768" spans="1:8" hidden="1">
      <c r="A1768" s="5" t="s">
        <v>45</v>
      </c>
      <c r="H1768" s="5" t="s">
        <v>44</v>
      </c>
    </row>
    <row r="1769" spans="1:8" hidden="1">
      <c r="A1769" s="5" t="s">
        <v>46</v>
      </c>
      <c r="H1769" s="5" t="s">
        <v>44</v>
      </c>
    </row>
    <row r="1770" spans="1:8" hidden="1">
      <c r="A1770" s="5" t="s">
        <v>47</v>
      </c>
      <c r="H1770" s="5" t="s">
        <v>44</v>
      </c>
    </row>
    <row r="1771" spans="1:8" hidden="1">
      <c r="A1771" s="5" t="s">
        <v>37</v>
      </c>
      <c r="H1771" s="5" t="s">
        <v>44</v>
      </c>
    </row>
    <row r="1772" spans="1:8" hidden="1">
      <c r="A1772" s="6"/>
      <c r="H1772" s="5" t="s">
        <v>44</v>
      </c>
    </row>
    <row r="1773" spans="1:8" hidden="1">
      <c r="A1773" s="5" t="s">
        <v>186</v>
      </c>
      <c r="H1773" s="5" t="s">
        <v>44</v>
      </c>
    </row>
    <row r="1774" spans="1:8" hidden="1">
      <c r="A1774" s="5" t="s">
        <v>187</v>
      </c>
      <c r="H1774" s="5" t="s">
        <v>44</v>
      </c>
    </row>
    <row r="1775" spans="1:8" hidden="1">
      <c r="A1775" s="6"/>
      <c r="H1775" s="5" t="s">
        <v>44</v>
      </c>
    </row>
    <row r="1776" spans="1:8" hidden="1">
      <c r="A1776" s="6"/>
      <c r="H1776" s="5" t="s">
        <v>44</v>
      </c>
    </row>
    <row r="1777" spans="1:8" hidden="1">
      <c r="A1777" s="5" t="s">
        <v>3</v>
      </c>
      <c r="H1777" s="5" t="s">
        <v>44</v>
      </c>
    </row>
    <row r="1778" spans="1:8" hidden="1">
      <c r="A1778" s="5" t="s">
        <v>4</v>
      </c>
      <c r="H1778" s="5" t="s">
        <v>44</v>
      </c>
    </row>
    <row r="1779" spans="1:8" hidden="1">
      <c r="A1779" s="5" t="s">
        <v>5</v>
      </c>
      <c r="H1779" s="5" t="s">
        <v>44</v>
      </c>
    </row>
    <row r="1780" spans="1:8" hidden="1">
      <c r="A1780" s="5" t="s">
        <v>6</v>
      </c>
      <c r="H1780" s="5" t="s">
        <v>44</v>
      </c>
    </row>
    <row r="1781" spans="1:8" hidden="1">
      <c r="A1781" s="5" t="s">
        <v>7</v>
      </c>
      <c r="H1781" s="5" t="s">
        <v>44</v>
      </c>
    </row>
    <row r="1782" spans="1:8" hidden="1">
      <c r="A1782" s="5" t="s">
        <v>6</v>
      </c>
      <c r="H1782" s="5" t="s">
        <v>44</v>
      </c>
    </row>
    <row r="1783" spans="1:8" hidden="1">
      <c r="A1783" s="5" t="s">
        <v>189</v>
      </c>
      <c r="H1783" s="5" t="s">
        <v>44</v>
      </c>
    </row>
    <row r="1784" spans="1:8" hidden="1">
      <c r="A1784" s="5" t="s">
        <v>190</v>
      </c>
      <c r="H1784" s="5" t="s">
        <v>44</v>
      </c>
    </row>
    <row r="1785" spans="1:8" hidden="1">
      <c r="A1785" s="6"/>
      <c r="H1785" s="5" t="s">
        <v>44</v>
      </c>
    </row>
    <row r="1786" spans="1:8" hidden="1">
      <c r="A1786" s="5" t="s">
        <v>106</v>
      </c>
      <c r="H1786" s="5" t="s">
        <v>44</v>
      </c>
    </row>
    <row r="1787" spans="1:8" hidden="1">
      <c r="A1787" s="5" t="s">
        <v>15</v>
      </c>
      <c r="H1787" s="5" t="s">
        <v>44</v>
      </c>
    </row>
    <row r="1788" spans="1:8" hidden="1">
      <c r="A1788" s="5" t="s">
        <v>6</v>
      </c>
      <c r="H1788" s="5" t="s">
        <v>44</v>
      </c>
    </row>
    <row r="1789" spans="1:8" hidden="1">
      <c r="A1789" s="5" t="s">
        <v>91</v>
      </c>
      <c r="H1789" s="5" t="s">
        <v>44</v>
      </c>
    </row>
    <row r="1790" spans="1:8" hidden="1">
      <c r="A1790" s="5" t="s">
        <v>191</v>
      </c>
      <c r="H1790" s="5" t="s">
        <v>44</v>
      </c>
    </row>
    <row r="1791" spans="1:8" hidden="1">
      <c r="A1791" s="5" t="s">
        <v>192</v>
      </c>
      <c r="H1791" s="5" t="s">
        <v>44</v>
      </c>
    </row>
    <row r="1792" spans="1:8" hidden="1">
      <c r="A1792" s="6"/>
      <c r="H1792" s="5" t="s">
        <v>44</v>
      </c>
    </row>
    <row r="1793" spans="1:8" hidden="1">
      <c r="A1793" s="5" t="s">
        <v>19</v>
      </c>
      <c r="H1793" s="5" t="s">
        <v>44</v>
      </c>
    </row>
    <row r="1794" spans="1:8" hidden="1">
      <c r="A1794" s="5" t="s">
        <v>20</v>
      </c>
      <c r="H1794" s="5" t="s">
        <v>44</v>
      </c>
    </row>
    <row r="1795" spans="1:8" hidden="1">
      <c r="A1795" s="5" t="s">
        <v>21</v>
      </c>
      <c r="H1795" s="5" t="s">
        <v>44</v>
      </c>
    </row>
    <row r="1796" spans="1:8" hidden="1">
      <c r="A1796" s="5" t="s">
        <v>22</v>
      </c>
      <c r="H1796" s="5" t="s">
        <v>44</v>
      </c>
    </row>
    <row r="1797" spans="1:8" hidden="1">
      <c r="A1797" s="5" t="s">
        <v>23</v>
      </c>
      <c r="H1797" s="5" t="s">
        <v>44</v>
      </c>
    </row>
    <row r="1798" spans="1:8" hidden="1">
      <c r="A1798" s="5" t="s">
        <v>24</v>
      </c>
      <c r="H1798" s="5" t="s">
        <v>44</v>
      </c>
    </row>
    <row r="1799" spans="1:8" hidden="1">
      <c r="A1799" s="5" t="s">
        <v>25</v>
      </c>
      <c r="H1799" s="5" t="s">
        <v>44</v>
      </c>
    </row>
    <row r="1800" spans="1:8" hidden="1">
      <c r="A1800" s="5" t="s">
        <v>26</v>
      </c>
      <c r="H1800" s="5" t="s">
        <v>44</v>
      </c>
    </row>
    <row r="1801" spans="1:8" hidden="1">
      <c r="A1801" s="5" t="s">
        <v>27</v>
      </c>
      <c r="H1801" s="5" t="s">
        <v>44</v>
      </c>
    </row>
    <row r="1802" spans="1:8" hidden="1">
      <c r="A1802" s="5" t="s">
        <v>6</v>
      </c>
      <c r="H1802" s="5" t="s">
        <v>44</v>
      </c>
    </row>
    <row r="1803" spans="1:8" hidden="1">
      <c r="A1803" s="5" t="s">
        <v>28</v>
      </c>
      <c r="H1803" s="5" t="s">
        <v>44</v>
      </c>
    </row>
    <row r="1804" spans="1:8" hidden="1">
      <c r="A1804" s="5" t="s">
        <v>29</v>
      </c>
      <c r="H1804" s="5" t="s">
        <v>44</v>
      </c>
    </row>
    <row r="1805" spans="1:8" hidden="1">
      <c r="A1805" s="6"/>
      <c r="H1805" s="5" t="s">
        <v>44</v>
      </c>
    </row>
    <row r="1806" spans="1:8" hidden="1">
      <c r="A1806" s="6"/>
      <c r="H1806" s="5" t="s">
        <v>44</v>
      </c>
    </row>
    <row r="1807" spans="1:8" hidden="1">
      <c r="A1807" s="5" t="s">
        <v>6</v>
      </c>
      <c r="H1807" s="5" t="s">
        <v>44</v>
      </c>
    </row>
    <row r="1808" spans="1:8" hidden="1">
      <c r="A1808" s="5" t="s">
        <v>30</v>
      </c>
      <c r="H1808" s="5" t="s">
        <v>44</v>
      </c>
    </row>
    <row r="1809" spans="1:8" hidden="1">
      <c r="A1809" s="6"/>
      <c r="H1809" s="5" t="s">
        <v>303</v>
      </c>
    </row>
    <row r="1810" spans="1:8" hidden="1">
      <c r="A1810" s="5" t="s">
        <v>31</v>
      </c>
      <c r="H1810" s="5" t="s">
        <v>307</v>
      </c>
    </row>
    <row r="1811" spans="1:8" hidden="1">
      <c r="A1811" s="5" t="s">
        <v>32</v>
      </c>
      <c r="H1811" s="5" t="s">
        <v>35</v>
      </c>
    </row>
    <row r="1812" spans="1:8" hidden="1">
      <c r="A1812" s="5" t="s">
        <v>33</v>
      </c>
      <c r="H1812" s="5" t="s">
        <v>35</v>
      </c>
    </row>
    <row r="1813" spans="1:8" hidden="1">
      <c r="A1813" s="5" t="s">
        <v>34</v>
      </c>
      <c r="H1813" s="5" t="s">
        <v>35</v>
      </c>
    </row>
    <row r="1814" spans="1:8" hidden="1">
      <c r="A1814" s="5" t="s">
        <v>35</v>
      </c>
      <c r="H1814" s="5" t="s">
        <v>35</v>
      </c>
    </row>
    <row r="1815" spans="1:8" hidden="1">
      <c r="A1815" s="5" t="s">
        <v>36</v>
      </c>
      <c r="H1815" s="5" t="s">
        <v>35</v>
      </c>
    </row>
    <row r="1816" spans="1:8" hidden="1">
      <c r="A1816" s="5" t="s">
        <v>37</v>
      </c>
      <c r="H1816" s="5" t="s">
        <v>35</v>
      </c>
    </row>
    <row r="1817" spans="1:8" hidden="1">
      <c r="A1817" s="5" t="s">
        <v>38</v>
      </c>
      <c r="H1817" s="5" t="s">
        <v>35</v>
      </c>
    </row>
    <row r="1818" spans="1:8" hidden="1">
      <c r="A1818" s="5" t="s">
        <v>39</v>
      </c>
      <c r="H1818" s="5" t="s">
        <v>35</v>
      </c>
    </row>
    <row r="1819" spans="1:8" hidden="1">
      <c r="A1819" s="6"/>
      <c r="H1819" s="5" t="s">
        <v>35</v>
      </c>
    </row>
    <row r="1820" spans="1:8" hidden="1">
      <c r="A1820" s="5" t="s">
        <v>189</v>
      </c>
      <c r="H1820" s="5" t="s">
        <v>35</v>
      </c>
    </row>
    <row r="1821" spans="1:8" hidden="1">
      <c r="A1821" s="5" t="s">
        <v>190</v>
      </c>
      <c r="H1821" s="5" t="s">
        <v>35</v>
      </c>
    </row>
    <row r="1822" spans="1:8" hidden="1">
      <c r="A1822" s="6"/>
      <c r="H1822" s="5" t="s">
        <v>35</v>
      </c>
    </row>
    <row r="1823" spans="1:8" hidden="1">
      <c r="A1823" s="6"/>
      <c r="H1823" s="5" t="s">
        <v>35</v>
      </c>
    </row>
    <row r="1824" spans="1:8" hidden="1">
      <c r="A1824" s="6"/>
      <c r="H1824" s="5" t="s">
        <v>35</v>
      </c>
    </row>
    <row r="1825" spans="1:8" hidden="1">
      <c r="A1825" s="6"/>
      <c r="H1825" s="5" t="s">
        <v>35</v>
      </c>
    </row>
    <row r="1826" spans="1:8" hidden="1">
      <c r="A1826" s="5" t="s">
        <v>6</v>
      </c>
      <c r="H1826" s="5" t="s">
        <v>35</v>
      </c>
    </row>
    <row r="1827" spans="1:8" hidden="1">
      <c r="A1827" s="5" t="s">
        <v>40</v>
      </c>
      <c r="H1827" s="5" t="s">
        <v>35</v>
      </c>
    </row>
    <row r="1828" spans="1:8" hidden="1">
      <c r="A1828" s="6"/>
      <c r="H1828" s="5" t="s">
        <v>35</v>
      </c>
    </row>
    <row r="1829" spans="1:8" hidden="1">
      <c r="A1829" s="5" t="s">
        <v>41</v>
      </c>
      <c r="H1829" s="5" t="s">
        <v>35</v>
      </c>
    </row>
    <row r="1830" spans="1:8" hidden="1">
      <c r="A1830" s="6"/>
      <c r="H1830" s="5" t="s">
        <v>35</v>
      </c>
    </row>
    <row r="1831" spans="1:8" hidden="1">
      <c r="A1831" s="5" t="s">
        <v>42</v>
      </c>
      <c r="H1831" s="5" t="s">
        <v>35</v>
      </c>
    </row>
    <row r="1832" spans="1:8" hidden="1">
      <c r="A1832" s="6"/>
      <c r="H1832" s="5" t="s">
        <v>35</v>
      </c>
    </row>
    <row r="1833" spans="1:8" hidden="1">
      <c r="A1833" s="5" t="s">
        <v>43</v>
      </c>
      <c r="H1833" s="5" t="s">
        <v>35</v>
      </c>
    </row>
    <row r="1834" spans="1:8" hidden="1">
      <c r="A1834" s="5" t="s">
        <v>44</v>
      </c>
      <c r="H1834" s="5" t="s">
        <v>35</v>
      </c>
    </row>
    <row r="1835" spans="1:8" hidden="1">
      <c r="A1835" s="5" t="s">
        <v>45</v>
      </c>
      <c r="H1835" s="5" t="s">
        <v>35</v>
      </c>
    </row>
    <row r="1836" spans="1:8" hidden="1">
      <c r="A1836" s="5" t="s">
        <v>46</v>
      </c>
      <c r="H1836" s="5" t="s">
        <v>35</v>
      </c>
    </row>
    <row r="1837" spans="1:8" hidden="1">
      <c r="A1837" s="5" t="s">
        <v>47</v>
      </c>
      <c r="H1837" s="5" t="s">
        <v>35</v>
      </c>
    </row>
    <row r="1838" spans="1:8" hidden="1">
      <c r="A1838" s="5" t="s">
        <v>37</v>
      </c>
      <c r="H1838" s="5" t="s">
        <v>35</v>
      </c>
    </row>
    <row r="1839" spans="1:8" hidden="1">
      <c r="A1839" s="6"/>
      <c r="H1839" s="5" t="s">
        <v>35</v>
      </c>
    </row>
    <row r="1840" spans="1:8" hidden="1">
      <c r="A1840" s="5" t="s">
        <v>189</v>
      </c>
      <c r="H1840" s="5" t="s">
        <v>35</v>
      </c>
    </row>
    <row r="1841" spans="1:8" hidden="1">
      <c r="A1841" s="5" t="s">
        <v>190</v>
      </c>
      <c r="H1841" s="5" t="s">
        <v>35</v>
      </c>
    </row>
    <row r="1842" spans="1:8" hidden="1">
      <c r="A1842" s="6"/>
      <c r="H1842" s="5" t="s">
        <v>35</v>
      </c>
    </row>
    <row r="1843" spans="1:8" hidden="1">
      <c r="A1843" s="6"/>
      <c r="H1843" s="5" t="s">
        <v>35</v>
      </c>
    </row>
    <row r="1844" spans="1:8" hidden="1">
      <c r="A1844" s="5" t="s">
        <v>3</v>
      </c>
      <c r="H1844" s="5" t="s">
        <v>35</v>
      </c>
    </row>
    <row r="1845" spans="1:8" hidden="1">
      <c r="A1845" s="5" t="s">
        <v>4</v>
      </c>
      <c r="H1845" s="5" t="s">
        <v>35</v>
      </c>
    </row>
    <row r="1846" spans="1:8" hidden="1">
      <c r="A1846" s="5" t="s">
        <v>5</v>
      </c>
      <c r="H1846" s="5" t="s">
        <v>35</v>
      </c>
    </row>
    <row r="1847" spans="1:8" hidden="1">
      <c r="A1847" s="5" t="s">
        <v>6</v>
      </c>
      <c r="H1847" s="5" t="s">
        <v>35</v>
      </c>
    </row>
    <row r="1848" spans="1:8" hidden="1">
      <c r="A1848" s="5" t="s">
        <v>7</v>
      </c>
      <c r="H1848" s="5" t="s">
        <v>35</v>
      </c>
    </row>
    <row r="1849" spans="1:8" hidden="1">
      <c r="A1849" s="5" t="s">
        <v>6</v>
      </c>
      <c r="H1849" s="5" t="s">
        <v>35</v>
      </c>
    </row>
    <row r="1850" spans="1:8" hidden="1">
      <c r="A1850" s="5" t="s">
        <v>193</v>
      </c>
      <c r="H1850" s="5" t="s">
        <v>35</v>
      </c>
    </row>
    <row r="1851" spans="1:8" hidden="1">
      <c r="A1851" s="5" t="s">
        <v>194</v>
      </c>
      <c r="H1851" s="5" t="s">
        <v>35</v>
      </c>
    </row>
    <row r="1852" spans="1:8" hidden="1">
      <c r="A1852" s="6"/>
      <c r="H1852" s="5" t="s">
        <v>35</v>
      </c>
    </row>
    <row r="1853" spans="1:8" hidden="1">
      <c r="A1853" s="5" t="s">
        <v>195</v>
      </c>
      <c r="H1853" s="5" t="s">
        <v>35</v>
      </c>
    </row>
    <row r="1854" spans="1:8" hidden="1">
      <c r="A1854" s="5" t="s">
        <v>3</v>
      </c>
      <c r="H1854" s="5" t="s">
        <v>35</v>
      </c>
    </row>
    <row r="1855" spans="1:8" hidden="1">
      <c r="A1855" s="5" t="s">
        <v>4</v>
      </c>
      <c r="H1855" s="5" t="s">
        <v>35</v>
      </c>
    </row>
    <row r="1856" spans="1:8" hidden="1">
      <c r="A1856" s="5" t="s">
        <v>5</v>
      </c>
      <c r="H1856" s="5" t="s">
        <v>35</v>
      </c>
    </row>
    <row r="1857" spans="1:8" hidden="1">
      <c r="A1857" s="5" t="s">
        <v>6</v>
      </c>
      <c r="H1857" s="5" t="s">
        <v>35</v>
      </c>
    </row>
    <row r="1858" spans="1:8" hidden="1">
      <c r="A1858" s="5" t="s">
        <v>7</v>
      </c>
      <c r="H1858" s="5" t="s">
        <v>35</v>
      </c>
    </row>
    <row r="1859" spans="1:8" hidden="1">
      <c r="A1859" s="5" t="s">
        <v>6</v>
      </c>
      <c r="H1859" s="5" t="s">
        <v>35</v>
      </c>
    </row>
    <row r="1860" spans="1:8" hidden="1">
      <c r="A1860" s="5" t="s">
        <v>196</v>
      </c>
      <c r="H1860" s="5" t="s">
        <v>35</v>
      </c>
    </row>
    <row r="1861" spans="1:8" hidden="1">
      <c r="A1861" s="5" t="s">
        <v>197</v>
      </c>
      <c r="H1861" s="5" t="s">
        <v>35</v>
      </c>
    </row>
    <row r="1862" spans="1:8" hidden="1">
      <c r="A1862" s="6"/>
      <c r="H1862" s="5" t="s">
        <v>35</v>
      </c>
    </row>
    <row r="1863" spans="1:8" hidden="1">
      <c r="A1863" s="5" t="s">
        <v>3</v>
      </c>
      <c r="H1863" s="5" t="s">
        <v>35</v>
      </c>
    </row>
    <row r="1864" spans="1:8" hidden="1">
      <c r="A1864" s="5" t="s">
        <v>4</v>
      </c>
      <c r="H1864" s="5" t="s">
        <v>35</v>
      </c>
    </row>
    <row r="1865" spans="1:8" hidden="1">
      <c r="A1865" s="5" t="s">
        <v>5</v>
      </c>
      <c r="H1865" s="5" t="s">
        <v>35</v>
      </c>
    </row>
    <row r="1866" spans="1:8" hidden="1">
      <c r="A1866" s="5" t="s">
        <v>6</v>
      </c>
      <c r="H1866" s="5" t="s">
        <v>35</v>
      </c>
    </row>
    <row r="1867" spans="1:8" hidden="1">
      <c r="A1867" s="5" t="s">
        <v>7</v>
      </c>
      <c r="H1867" s="5" t="s">
        <v>35</v>
      </c>
    </row>
    <row r="1868" spans="1:8" hidden="1">
      <c r="A1868" s="5" t="s">
        <v>6</v>
      </c>
      <c r="H1868" s="5" t="s">
        <v>35</v>
      </c>
    </row>
    <row r="1869" spans="1:8" hidden="1">
      <c r="A1869" s="5" t="s">
        <v>198</v>
      </c>
      <c r="H1869" s="5" t="s">
        <v>35</v>
      </c>
    </row>
    <row r="1870" spans="1:8" hidden="1">
      <c r="A1870" s="5" t="s">
        <v>199</v>
      </c>
      <c r="H1870" s="5" t="s">
        <v>35</v>
      </c>
    </row>
    <row r="1871" spans="1:8" hidden="1">
      <c r="A1871" s="6"/>
      <c r="H1871" s="5" t="s">
        <v>35</v>
      </c>
    </row>
    <row r="1872" spans="1:8" hidden="1">
      <c r="A1872" s="5" t="s">
        <v>12</v>
      </c>
      <c r="H1872" s="5" t="s">
        <v>35</v>
      </c>
    </row>
    <row r="1873" spans="1:8" hidden="1">
      <c r="A1873" s="5" t="s">
        <v>13</v>
      </c>
      <c r="H1873" s="5" t="s">
        <v>35</v>
      </c>
    </row>
    <row r="1874" spans="1:8" hidden="1">
      <c r="A1874" s="5" t="s">
        <v>200</v>
      </c>
      <c r="H1874" s="5" t="s">
        <v>35</v>
      </c>
    </row>
    <row r="1875" spans="1:8" hidden="1">
      <c r="A1875" s="5" t="s">
        <v>119</v>
      </c>
      <c r="H1875" s="5" t="s">
        <v>227</v>
      </c>
    </row>
    <row r="1876" spans="1:8" hidden="1">
      <c r="A1876" s="5" t="s">
        <v>6</v>
      </c>
      <c r="H1876" s="5" t="s">
        <v>47</v>
      </c>
    </row>
    <row r="1877" spans="1:8" hidden="1">
      <c r="A1877" s="5" t="s">
        <v>16</v>
      </c>
      <c r="H1877" s="5" t="s">
        <v>47</v>
      </c>
    </row>
    <row r="1878" spans="1:8" hidden="1">
      <c r="A1878" s="5" t="s">
        <v>17</v>
      </c>
      <c r="H1878" s="5" t="s">
        <v>47</v>
      </c>
    </row>
    <row r="1879" spans="1:8" hidden="1">
      <c r="A1879" s="6"/>
      <c r="H1879" s="5" t="s">
        <v>47</v>
      </c>
    </row>
    <row r="1880" spans="1:8" hidden="1">
      <c r="A1880" s="5" t="s">
        <v>18</v>
      </c>
      <c r="H1880" s="5" t="s">
        <v>47</v>
      </c>
    </row>
    <row r="1881" spans="1:8" hidden="1">
      <c r="A1881" s="7">
        <v>100000</v>
      </c>
      <c r="H1881" s="5" t="s">
        <v>47</v>
      </c>
    </row>
    <row r="1882" spans="1:8" hidden="1">
      <c r="A1882" s="6"/>
      <c r="H1882" s="5" t="s">
        <v>47</v>
      </c>
    </row>
    <row r="1883" spans="1:8" hidden="1">
      <c r="A1883" s="5" t="s">
        <v>19</v>
      </c>
      <c r="H1883" s="5" t="s">
        <v>47</v>
      </c>
    </row>
    <row r="1884" spans="1:8" hidden="1">
      <c r="A1884" s="5" t="s">
        <v>20</v>
      </c>
      <c r="H1884" s="5" t="s">
        <v>47</v>
      </c>
    </row>
    <row r="1885" spans="1:8" hidden="1">
      <c r="A1885" s="5" t="s">
        <v>21</v>
      </c>
      <c r="H1885" s="5" t="s">
        <v>47</v>
      </c>
    </row>
    <row r="1886" spans="1:8" hidden="1">
      <c r="A1886" s="5" t="s">
        <v>22</v>
      </c>
      <c r="H1886" s="5" t="s">
        <v>47</v>
      </c>
    </row>
    <row r="1887" spans="1:8" hidden="1">
      <c r="A1887" s="5" t="s">
        <v>23</v>
      </c>
      <c r="H1887" s="5" t="s">
        <v>47</v>
      </c>
    </row>
    <row r="1888" spans="1:8" hidden="1">
      <c r="A1888" s="5" t="s">
        <v>24</v>
      </c>
      <c r="H1888" s="5" t="s">
        <v>47</v>
      </c>
    </row>
    <row r="1889" spans="1:8" hidden="1">
      <c r="A1889" s="5" t="s">
        <v>25</v>
      </c>
      <c r="H1889" s="5" t="s">
        <v>47</v>
      </c>
    </row>
    <row r="1890" spans="1:8" hidden="1">
      <c r="A1890" s="5" t="s">
        <v>26</v>
      </c>
      <c r="H1890" s="5" t="s">
        <v>47</v>
      </c>
    </row>
    <row r="1891" spans="1:8" hidden="1">
      <c r="A1891" s="5" t="s">
        <v>27</v>
      </c>
      <c r="H1891" s="5" t="s">
        <v>47</v>
      </c>
    </row>
    <row r="1892" spans="1:8" hidden="1">
      <c r="A1892" s="5" t="s">
        <v>6</v>
      </c>
      <c r="H1892" s="5" t="s">
        <v>47</v>
      </c>
    </row>
    <row r="1893" spans="1:8" hidden="1">
      <c r="A1893" s="5" t="s">
        <v>28</v>
      </c>
      <c r="H1893" s="5" t="s">
        <v>47</v>
      </c>
    </row>
    <row r="1894" spans="1:8" hidden="1">
      <c r="A1894" s="5" t="s">
        <v>29</v>
      </c>
      <c r="H1894" s="5" t="s">
        <v>47</v>
      </c>
    </row>
    <row r="1895" spans="1:8" hidden="1">
      <c r="A1895" s="6"/>
      <c r="H1895" s="5" t="s">
        <v>47</v>
      </c>
    </row>
    <row r="1896" spans="1:8" hidden="1">
      <c r="A1896" s="6"/>
      <c r="H1896" s="5" t="s">
        <v>47</v>
      </c>
    </row>
    <row r="1897" spans="1:8" hidden="1">
      <c r="A1897" s="5" t="s">
        <v>6</v>
      </c>
      <c r="H1897" s="5" t="s">
        <v>47</v>
      </c>
    </row>
    <row r="1898" spans="1:8" hidden="1">
      <c r="A1898" s="5" t="s">
        <v>30</v>
      </c>
      <c r="H1898" s="5" t="s">
        <v>47</v>
      </c>
    </row>
    <row r="1899" spans="1:8" hidden="1">
      <c r="A1899" s="6"/>
      <c r="H1899" s="5" t="s">
        <v>47</v>
      </c>
    </row>
    <row r="1900" spans="1:8" hidden="1">
      <c r="A1900" s="5" t="s">
        <v>31</v>
      </c>
      <c r="H1900" s="5" t="s">
        <v>47</v>
      </c>
    </row>
    <row r="1901" spans="1:8" hidden="1">
      <c r="A1901" s="5" t="s">
        <v>32</v>
      </c>
      <c r="H1901" s="5" t="s">
        <v>47</v>
      </c>
    </row>
    <row r="1902" spans="1:8" hidden="1">
      <c r="A1902" s="5" t="s">
        <v>33</v>
      </c>
      <c r="H1902" s="5" t="s">
        <v>47</v>
      </c>
    </row>
    <row r="1903" spans="1:8" hidden="1">
      <c r="A1903" s="5" t="s">
        <v>34</v>
      </c>
      <c r="H1903" s="5" t="s">
        <v>47</v>
      </c>
    </row>
    <row r="1904" spans="1:8" hidden="1">
      <c r="A1904" s="5" t="s">
        <v>35</v>
      </c>
      <c r="H1904" s="5" t="s">
        <v>47</v>
      </c>
    </row>
    <row r="1905" spans="1:8" hidden="1">
      <c r="A1905" s="5" t="s">
        <v>36</v>
      </c>
      <c r="H1905" s="5" t="s">
        <v>47</v>
      </c>
    </row>
    <row r="1906" spans="1:8" hidden="1">
      <c r="A1906" s="5" t="s">
        <v>37</v>
      </c>
      <c r="H1906" s="5" t="s">
        <v>47</v>
      </c>
    </row>
    <row r="1907" spans="1:8" hidden="1">
      <c r="A1907" s="5" t="s">
        <v>38</v>
      </c>
      <c r="H1907" s="5" t="s">
        <v>47</v>
      </c>
    </row>
    <row r="1908" spans="1:8" hidden="1">
      <c r="A1908" s="5" t="s">
        <v>39</v>
      </c>
      <c r="H1908" s="5" t="s">
        <v>47</v>
      </c>
    </row>
    <row r="1909" spans="1:8" hidden="1">
      <c r="A1909" s="6"/>
      <c r="H1909" s="5" t="s">
        <v>47</v>
      </c>
    </row>
    <row r="1910" spans="1:8" hidden="1">
      <c r="A1910" s="5" t="s">
        <v>198</v>
      </c>
      <c r="H1910" s="5" t="s">
        <v>47</v>
      </c>
    </row>
    <row r="1911" spans="1:8" hidden="1">
      <c r="A1911" s="5" t="s">
        <v>199</v>
      </c>
      <c r="H1911" s="5" t="s">
        <v>47</v>
      </c>
    </row>
    <row r="1912" spans="1:8" hidden="1">
      <c r="A1912" s="6"/>
      <c r="H1912" s="5" t="s">
        <v>47</v>
      </c>
    </row>
    <row r="1913" spans="1:8" hidden="1">
      <c r="A1913" s="6"/>
      <c r="H1913" s="5" t="s">
        <v>47</v>
      </c>
    </row>
    <row r="1914" spans="1:8" hidden="1">
      <c r="A1914" s="6"/>
      <c r="H1914" s="5" t="s">
        <v>47</v>
      </c>
    </row>
    <row r="1915" spans="1:8" hidden="1">
      <c r="A1915" s="6"/>
      <c r="H1915" s="5" t="s">
        <v>47</v>
      </c>
    </row>
    <row r="1916" spans="1:8" hidden="1">
      <c r="A1916" s="5" t="s">
        <v>6</v>
      </c>
      <c r="H1916" s="5" t="s">
        <v>47</v>
      </c>
    </row>
    <row r="1917" spans="1:8" hidden="1">
      <c r="A1917" s="5" t="s">
        <v>40</v>
      </c>
      <c r="H1917" s="5" t="s">
        <v>47</v>
      </c>
    </row>
    <row r="1918" spans="1:8" hidden="1">
      <c r="A1918" s="6"/>
      <c r="H1918" s="5" t="s">
        <v>47</v>
      </c>
    </row>
    <row r="1919" spans="1:8" hidden="1">
      <c r="A1919" s="5" t="s">
        <v>41</v>
      </c>
      <c r="H1919" s="5" t="s">
        <v>47</v>
      </c>
    </row>
    <row r="1920" spans="1:8" hidden="1">
      <c r="A1920" s="6"/>
      <c r="H1920" s="5" t="s">
        <v>47</v>
      </c>
    </row>
    <row r="1921" spans="1:8" hidden="1">
      <c r="A1921" s="5" t="s">
        <v>42</v>
      </c>
      <c r="H1921" s="5" t="s">
        <v>47</v>
      </c>
    </row>
    <row r="1922" spans="1:8" hidden="1">
      <c r="A1922" s="6"/>
      <c r="H1922" s="5" t="s">
        <v>47</v>
      </c>
    </row>
    <row r="1923" spans="1:8" hidden="1">
      <c r="A1923" s="5" t="s">
        <v>43</v>
      </c>
      <c r="H1923" s="5" t="s">
        <v>32</v>
      </c>
    </row>
    <row r="1924" spans="1:8" hidden="1">
      <c r="A1924" s="5" t="s">
        <v>44</v>
      </c>
      <c r="H1924" s="5" t="s">
        <v>32</v>
      </c>
    </row>
    <row r="1925" spans="1:8" hidden="1">
      <c r="A1925" s="5" t="s">
        <v>45</v>
      </c>
      <c r="H1925" s="5" t="s">
        <v>32</v>
      </c>
    </row>
    <row r="1926" spans="1:8" hidden="1">
      <c r="A1926" s="5" t="s">
        <v>46</v>
      </c>
      <c r="H1926" s="5" t="s">
        <v>32</v>
      </c>
    </row>
    <row r="1927" spans="1:8" hidden="1">
      <c r="A1927" s="5" t="s">
        <v>47</v>
      </c>
      <c r="H1927" s="5" t="s">
        <v>32</v>
      </c>
    </row>
    <row r="1928" spans="1:8" hidden="1">
      <c r="A1928" s="5" t="s">
        <v>37</v>
      </c>
      <c r="H1928" s="5" t="s">
        <v>32</v>
      </c>
    </row>
    <row r="1929" spans="1:8" hidden="1">
      <c r="A1929" s="6"/>
      <c r="H1929" s="5" t="s">
        <v>32</v>
      </c>
    </row>
    <row r="1930" spans="1:8" hidden="1">
      <c r="A1930" s="5" t="s">
        <v>198</v>
      </c>
      <c r="H1930" s="5" t="s">
        <v>32</v>
      </c>
    </row>
    <row r="1931" spans="1:8" hidden="1">
      <c r="A1931" s="5" t="s">
        <v>199</v>
      </c>
      <c r="H1931" s="5" t="s">
        <v>32</v>
      </c>
    </row>
    <row r="1932" spans="1:8" hidden="1">
      <c r="A1932" s="6"/>
      <c r="H1932" s="5" t="s">
        <v>32</v>
      </c>
    </row>
    <row r="1933" spans="1:8" hidden="1">
      <c r="A1933" s="6"/>
      <c r="H1933" s="5" t="s">
        <v>32</v>
      </c>
    </row>
    <row r="1934" spans="1:8" hidden="1">
      <c r="A1934" s="5" t="s">
        <v>3</v>
      </c>
      <c r="H1934" s="5" t="s">
        <v>32</v>
      </c>
    </row>
    <row r="1935" spans="1:8" hidden="1">
      <c r="A1935" s="5" t="s">
        <v>4</v>
      </c>
      <c r="H1935" s="5" t="s">
        <v>32</v>
      </c>
    </row>
    <row r="1936" spans="1:8" hidden="1">
      <c r="A1936" s="5" t="s">
        <v>5</v>
      </c>
      <c r="H1936" s="5" t="s">
        <v>32</v>
      </c>
    </row>
    <row r="1937" spans="1:8" hidden="1">
      <c r="A1937" s="5" t="s">
        <v>6</v>
      </c>
      <c r="H1937" s="5" t="s">
        <v>32</v>
      </c>
    </row>
    <row r="1938" spans="1:8" hidden="1">
      <c r="A1938" s="5" t="s">
        <v>7</v>
      </c>
      <c r="H1938" s="5" t="s">
        <v>32</v>
      </c>
    </row>
    <row r="1939" spans="1:8" hidden="1">
      <c r="A1939" s="5" t="s">
        <v>6</v>
      </c>
      <c r="H1939" s="5" t="s">
        <v>32</v>
      </c>
    </row>
    <row r="1940" spans="1:8" hidden="1">
      <c r="A1940" s="5" t="s">
        <v>201</v>
      </c>
      <c r="H1940" s="5" t="s">
        <v>32</v>
      </c>
    </row>
    <row r="1941" spans="1:8" hidden="1">
      <c r="A1941" s="5" t="s">
        <v>202</v>
      </c>
      <c r="H1941" s="5" t="s">
        <v>32</v>
      </c>
    </row>
    <row r="1942" spans="1:8" hidden="1">
      <c r="A1942" s="6"/>
      <c r="H1942" s="5" t="s">
        <v>32</v>
      </c>
    </row>
    <row r="1943" spans="1:8" hidden="1">
      <c r="A1943" s="5" t="s">
        <v>203</v>
      </c>
      <c r="H1943" s="5" t="s">
        <v>32</v>
      </c>
    </row>
    <row r="1944" spans="1:8" hidden="1">
      <c r="A1944" s="5" t="s">
        <v>204</v>
      </c>
      <c r="H1944" s="5" t="s">
        <v>32</v>
      </c>
    </row>
    <row r="1945" spans="1:8" hidden="1">
      <c r="A1945" s="5" t="s">
        <v>205</v>
      </c>
      <c r="H1945" s="5" t="s">
        <v>32</v>
      </c>
    </row>
    <row r="1946" spans="1:8" hidden="1">
      <c r="A1946" s="5" t="s">
        <v>206</v>
      </c>
      <c r="H1946" s="5" t="s">
        <v>32</v>
      </c>
    </row>
    <row r="1947" spans="1:8" hidden="1">
      <c r="A1947" s="5" t="s">
        <v>15</v>
      </c>
      <c r="H1947" s="5" t="s">
        <v>32</v>
      </c>
    </row>
    <row r="1948" spans="1:8" hidden="1">
      <c r="A1948" s="5" t="s">
        <v>207</v>
      </c>
      <c r="H1948" s="5" t="s">
        <v>32</v>
      </c>
    </row>
    <row r="1949" spans="1:8" hidden="1">
      <c r="A1949" s="5" t="s">
        <v>6</v>
      </c>
      <c r="H1949" s="5" t="s">
        <v>32</v>
      </c>
    </row>
    <row r="1950" spans="1:8" hidden="1">
      <c r="A1950" s="5" t="s">
        <v>208</v>
      </c>
      <c r="H1950" s="5" t="s">
        <v>32</v>
      </c>
    </row>
    <row r="1951" spans="1:8" hidden="1">
      <c r="A1951" s="5" t="s">
        <v>209</v>
      </c>
      <c r="H1951" s="5" t="s">
        <v>32</v>
      </c>
    </row>
    <row r="1952" spans="1:8" hidden="1">
      <c r="A1952" s="5" t="s">
        <v>210</v>
      </c>
      <c r="H1952" s="5" t="s">
        <v>32</v>
      </c>
    </row>
    <row r="1953" spans="1:8" hidden="1">
      <c r="A1953" s="6"/>
      <c r="H1953" s="5" t="s">
        <v>32</v>
      </c>
    </row>
    <row r="1954" spans="1:8" hidden="1">
      <c r="A1954" s="5" t="s">
        <v>18</v>
      </c>
      <c r="H1954" s="5" t="s">
        <v>32</v>
      </c>
    </row>
    <row r="1955" spans="1:8" hidden="1">
      <c r="A1955" s="7">
        <v>230860</v>
      </c>
      <c r="H1955" s="5" t="s">
        <v>32</v>
      </c>
    </row>
    <row r="1956" spans="1:8" hidden="1">
      <c r="A1956" s="6"/>
      <c r="H1956" s="5" t="s">
        <v>32</v>
      </c>
    </row>
    <row r="1957" spans="1:8" hidden="1">
      <c r="A1957" s="5" t="s">
        <v>19</v>
      </c>
      <c r="H1957" s="5" t="s">
        <v>32</v>
      </c>
    </row>
    <row r="1958" spans="1:8" hidden="1">
      <c r="A1958" s="5" t="s">
        <v>20</v>
      </c>
      <c r="H1958" s="5" t="s">
        <v>32</v>
      </c>
    </row>
    <row r="1959" spans="1:8" hidden="1">
      <c r="A1959" s="5" t="s">
        <v>21</v>
      </c>
      <c r="H1959" s="5" t="s">
        <v>32</v>
      </c>
    </row>
    <row r="1960" spans="1:8" hidden="1">
      <c r="A1960" s="5" t="s">
        <v>22</v>
      </c>
      <c r="H1960" s="5" t="s">
        <v>32</v>
      </c>
    </row>
    <row r="1961" spans="1:8" hidden="1">
      <c r="A1961" s="5" t="s">
        <v>23</v>
      </c>
      <c r="H1961" s="5" t="s">
        <v>32</v>
      </c>
    </row>
    <row r="1962" spans="1:8" hidden="1">
      <c r="A1962" s="5" t="s">
        <v>24</v>
      </c>
      <c r="H1962" s="5" t="s">
        <v>32</v>
      </c>
    </row>
    <row r="1963" spans="1:8" hidden="1">
      <c r="A1963" s="5" t="s">
        <v>25</v>
      </c>
      <c r="H1963" s="5" t="s">
        <v>32</v>
      </c>
    </row>
    <row r="1964" spans="1:8" hidden="1">
      <c r="A1964" s="5" t="s">
        <v>26</v>
      </c>
      <c r="H1964" s="5" t="s">
        <v>32</v>
      </c>
    </row>
    <row r="1965" spans="1:8" hidden="1">
      <c r="A1965" s="5" t="s">
        <v>27</v>
      </c>
      <c r="H1965" s="5" t="s">
        <v>32</v>
      </c>
    </row>
    <row r="1966" spans="1:8" hidden="1">
      <c r="A1966" s="5" t="s">
        <v>6</v>
      </c>
      <c r="H1966" s="5" t="s">
        <v>32</v>
      </c>
    </row>
    <row r="1967" spans="1:8" hidden="1">
      <c r="A1967" s="5" t="s">
        <v>28</v>
      </c>
      <c r="H1967" s="5" t="s">
        <v>32</v>
      </c>
    </row>
    <row r="1968" spans="1:8" hidden="1">
      <c r="A1968" s="5" t="s">
        <v>29</v>
      </c>
      <c r="H1968" s="5" t="s">
        <v>32</v>
      </c>
    </row>
    <row r="1969" spans="1:8" hidden="1">
      <c r="A1969" s="6"/>
      <c r="H1969" s="5" t="s">
        <v>32</v>
      </c>
    </row>
    <row r="1970" spans="1:8" hidden="1">
      <c r="A1970" s="6"/>
      <c r="H1970" s="5" t="s">
        <v>32</v>
      </c>
    </row>
    <row r="1971" spans="1:8" hidden="1">
      <c r="A1971" s="5" t="s">
        <v>6</v>
      </c>
      <c r="H1971" s="5" t="s">
        <v>32</v>
      </c>
    </row>
    <row r="1972" spans="1:8" hidden="1">
      <c r="A1972" s="5" t="s">
        <v>30</v>
      </c>
      <c r="H1972" s="5" t="s">
        <v>32</v>
      </c>
    </row>
    <row r="1973" spans="1:8" hidden="1">
      <c r="A1973" s="6"/>
      <c r="H1973" s="5" t="s">
        <v>32</v>
      </c>
    </row>
    <row r="1974" spans="1:8" hidden="1">
      <c r="A1974" s="5" t="s">
        <v>31</v>
      </c>
      <c r="H1974" s="5" t="s">
        <v>32</v>
      </c>
    </row>
    <row r="1975" spans="1:8" hidden="1">
      <c r="A1975" s="5" t="s">
        <v>32</v>
      </c>
      <c r="H1975" s="5" t="s">
        <v>32</v>
      </c>
    </row>
    <row r="1976" spans="1:8" hidden="1">
      <c r="A1976" s="5" t="s">
        <v>33</v>
      </c>
      <c r="H1976" s="5" t="s">
        <v>32</v>
      </c>
    </row>
    <row r="1977" spans="1:8" hidden="1">
      <c r="A1977" s="5" t="s">
        <v>34</v>
      </c>
      <c r="H1977" s="5" t="s">
        <v>32</v>
      </c>
    </row>
    <row r="1978" spans="1:8" hidden="1">
      <c r="A1978" s="5" t="s">
        <v>35</v>
      </c>
      <c r="H1978" s="5" t="s">
        <v>32</v>
      </c>
    </row>
    <row r="1979" spans="1:8" hidden="1">
      <c r="A1979" s="5" t="s">
        <v>36</v>
      </c>
      <c r="H1979" s="5" t="s">
        <v>32</v>
      </c>
    </row>
    <row r="1980" spans="1:8" hidden="1">
      <c r="A1980" s="5" t="s">
        <v>37</v>
      </c>
      <c r="H1980" s="5" t="s">
        <v>32</v>
      </c>
    </row>
    <row r="1981" spans="1:8" hidden="1">
      <c r="A1981" s="5" t="s">
        <v>38</v>
      </c>
      <c r="H1981" s="5" t="s">
        <v>32</v>
      </c>
    </row>
    <row r="1982" spans="1:8" hidden="1">
      <c r="A1982" s="5" t="s">
        <v>39</v>
      </c>
      <c r="H1982" s="5" t="s">
        <v>32</v>
      </c>
    </row>
    <row r="1983" spans="1:8" hidden="1">
      <c r="A1983" s="6"/>
      <c r="H1983" s="5" t="s">
        <v>32</v>
      </c>
    </row>
    <row r="1984" spans="1:8" hidden="1">
      <c r="A1984" s="5" t="s">
        <v>201</v>
      </c>
      <c r="H1984" s="5" t="s">
        <v>32</v>
      </c>
    </row>
    <row r="1985" spans="1:8" hidden="1">
      <c r="A1985" s="5" t="s">
        <v>202</v>
      </c>
      <c r="H1985" s="5" t="s">
        <v>32</v>
      </c>
    </row>
    <row r="1986" spans="1:8" hidden="1">
      <c r="A1986" s="6"/>
      <c r="H1986" s="5" t="s">
        <v>32</v>
      </c>
    </row>
    <row r="1987" spans="1:8" hidden="1">
      <c r="A1987" s="6"/>
      <c r="H1987" s="5" t="s">
        <v>32</v>
      </c>
    </row>
    <row r="1988" spans="1:8" hidden="1">
      <c r="A1988" s="6"/>
      <c r="H1988" s="5" t="s">
        <v>45</v>
      </c>
    </row>
    <row r="1989" spans="1:8" hidden="1">
      <c r="A1989" s="6"/>
      <c r="H1989" s="5" t="s">
        <v>45</v>
      </c>
    </row>
    <row r="1990" spans="1:8" hidden="1">
      <c r="A1990" s="5" t="s">
        <v>6</v>
      </c>
      <c r="H1990" s="5" t="s">
        <v>45</v>
      </c>
    </row>
    <row r="1991" spans="1:8" hidden="1">
      <c r="A1991" s="5" t="s">
        <v>40</v>
      </c>
      <c r="H1991" s="5" t="s">
        <v>45</v>
      </c>
    </row>
    <row r="1992" spans="1:8" hidden="1">
      <c r="A1992" s="6"/>
      <c r="H1992" s="5" t="s">
        <v>45</v>
      </c>
    </row>
    <row r="1993" spans="1:8" hidden="1">
      <c r="A1993" s="5" t="s">
        <v>41</v>
      </c>
      <c r="H1993" s="5" t="s">
        <v>45</v>
      </c>
    </row>
    <row r="1994" spans="1:8" hidden="1">
      <c r="A1994" s="6"/>
      <c r="H1994" s="5" t="s">
        <v>45</v>
      </c>
    </row>
    <row r="1995" spans="1:8" hidden="1">
      <c r="A1995" s="5" t="s">
        <v>42</v>
      </c>
      <c r="H1995" s="5" t="s">
        <v>45</v>
      </c>
    </row>
    <row r="1996" spans="1:8" hidden="1">
      <c r="A1996" s="6"/>
      <c r="H1996" s="5" t="s">
        <v>45</v>
      </c>
    </row>
    <row r="1997" spans="1:8" hidden="1">
      <c r="A1997" s="5" t="s">
        <v>43</v>
      </c>
      <c r="H1997" s="5" t="s">
        <v>45</v>
      </c>
    </row>
    <row r="1998" spans="1:8" hidden="1">
      <c r="A1998" s="5" t="s">
        <v>44</v>
      </c>
      <c r="H1998" s="5" t="s">
        <v>45</v>
      </c>
    </row>
    <row r="1999" spans="1:8" hidden="1">
      <c r="A1999" s="5" t="s">
        <v>45</v>
      </c>
      <c r="H1999" s="5" t="s">
        <v>45</v>
      </c>
    </row>
    <row r="2000" spans="1:8" hidden="1">
      <c r="A2000" s="5" t="s">
        <v>46</v>
      </c>
      <c r="H2000" s="5" t="s">
        <v>45</v>
      </c>
    </row>
    <row r="2001" spans="1:8" hidden="1">
      <c r="A2001" s="5" t="s">
        <v>47</v>
      </c>
      <c r="H2001" s="5" t="s">
        <v>45</v>
      </c>
    </row>
    <row r="2002" spans="1:8" hidden="1">
      <c r="A2002" s="5" t="s">
        <v>37</v>
      </c>
      <c r="H2002" s="5" t="s">
        <v>45</v>
      </c>
    </row>
    <row r="2003" spans="1:8" hidden="1">
      <c r="A2003" s="6"/>
      <c r="H2003" s="5" t="s">
        <v>45</v>
      </c>
    </row>
    <row r="2004" spans="1:8" hidden="1">
      <c r="A2004" s="5" t="s">
        <v>201</v>
      </c>
      <c r="H2004" s="5" t="s">
        <v>45</v>
      </c>
    </row>
    <row r="2005" spans="1:8" hidden="1">
      <c r="A2005" s="5" t="s">
        <v>202</v>
      </c>
      <c r="H2005" s="5" t="s">
        <v>45</v>
      </c>
    </row>
    <row r="2006" spans="1:8" hidden="1">
      <c r="A2006" s="6"/>
      <c r="H2006" s="5" t="s">
        <v>45</v>
      </c>
    </row>
    <row r="2007" spans="1:8" hidden="1">
      <c r="A2007" s="6"/>
      <c r="H2007" s="5" t="s">
        <v>45</v>
      </c>
    </row>
    <row r="2008" spans="1:8" hidden="1">
      <c r="A2008" s="5" t="s">
        <v>3</v>
      </c>
      <c r="H2008" s="5" t="s">
        <v>45</v>
      </c>
    </row>
    <row r="2009" spans="1:8" hidden="1">
      <c r="A2009" s="5" t="s">
        <v>4</v>
      </c>
      <c r="H2009" s="5" t="s">
        <v>45</v>
      </c>
    </row>
    <row r="2010" spans="1:8" hidden="1">
      <c r="A2010" s="5" t="s">
        <v>5</v>
      </c>
      <c r="H2010" s="5" t="s">
        <v>45</v>
      </c>
    </row>
    <row r="2011" spans="1:8" hidden="1">
      <c r="A2011" s="5" t="s">
        <v>6</v>
      </c>
      <c r="H2011" s="5" t="s">
        <v>45</v>
      </c>
    </row>
    <row r="2012" spans="1:8" hidden="1">
      <c r="A2012" s="5" t="s">
        <v>7</v>
      </c>
      <c r="H2012" s="5" t="s">
        <v>45</v>
      </c>
    </row>
    <row r="2013" spans="1:8" hidden="1">
      <c r="A2013" s="5" t="s">
        <v>6</v>
      </c>
      <c r="H2013" s="5" t="s">
        <v>45</v>
      </c>
    </row>
    <row r="2014" spans="1:8" hidden="1">
      <c r="A2014" s="5" t="s">
        <v>211</v>
      </c>
      <c r="H2014" s="5" t="s">
        <v>45</v>
      </c>
    </row>
    <row r="2015" spans="1:8" hidden="1">
      <c r="A2015" s="5" t="s">
        <v>212</v>
      </c>
      <c r="H2015" s="5" t="s">
        <v>45</v>
      </c>
    </row>
    <row r="2016" spans="1:8" hidden="1">
      <c r="A2016" s="6"/>
      <c r="H2016" s="5" t="s">
        <v>45</v>
      </c>
    </row>
    <row r="2017" spans="1:8" hidden="1">
      <c r="A2017" s="5" t="s">
        <v>87</v>
      </c>
      <c r="H2017" s="5" t="s">
        <v>45</v>
      </c>
    </row>
    <row r="2018" spans="1:8" hidden="1">
      <c r="A2018" s="5" t="s">
        <v>88</v>
      </c>
      <c r="H2018" s="5" t="s">
        <v>45</v>
      </c>
    </row>
    <row r="2019" spans="1:8" hidden="1">
      <c r="A2019" s="5" t="s">
        <v>89</v>
      </c>
      <c r="H2019" s="5" t="s">
        <v>45</v>
      </c>
    </row>
    <row r="2020" spans="1:8" hidden="1">
      <c r="A2020" s="5" t="s">
        <v>119</v>
      </c>
      <c r="H2020" s="5" t="s">
        <v>45</v>
      </c>
    </row>
    <row r="2021" spans="1:8" hidden="1">
      <c r="A2021" s="5" t="s">
        <v>6</v>
      </c>
      <c r="H2021" s="5" t="s">
        <v>45</v>
      </c>
    </row>
    <row r="2022" spans="1:8" hidden="1">
      <c r="A2022" s="5" t="s">
        <v>91</v>
      </c>
      <c r="H2022" s="5" t="s">
        <v>45</v>
      </c>
    </row>
    <row r="2023" spans="1:8" hidden="1">
      <c r="A2023" s="5" t="s">
        <v>213</v>
      </c>
      <c r="H2023" s="5" t="s">
        <v>45</v>
      </c>
    </row>
    <row r="2024" spans="1:8" hidden="1">
      <c r="A2024" s="6"/>
      <c r="H2024" s="5" t="s">
        <v>45</v>
      </c>
    </row>
    <row r="2025" spans="1:8" hidden="1">
      <c r="A2025" s="5" t="s">
        <v>18</v>
      </c>
      <c r="H2025" s="5" t="s">
        <v>45</v>
      </c>
    </row>
    <row r="2026" spans="1:8" hidden="1">
      <c r="A2026" s="7">
        <v>45000</v>
      </c>
      <c r="H2026" s="5" t="s">
        <v>45</v>
      </c>
    </row>
    <row r="2027" spans="1:8" hidden="1">
      <c r="A2027" s="6"/>
      <c r="H2027" s="5" t="s">
        <v>45</v>
      </c>
    </row>
    <row r="2028" spans="1:8" hidden="1">
      <c r="A2028" s="5" t="s">
        <v>19</v>
      </c>
      <c r="H2028" s="5" t="s">
        <v>45</v>
      </c>
    </row>
    <row r="2029" spans="1:8" hidden="1">
      <c r="A2029" s="5" t="s">
        <v>20</v>
      </c>
      <c r="H2029" s="5" t="s">
        <v>45</v>
      </c>
    </row>
    <row r="2030" spans="1:8" hidden="1">
      <c r="A2030" s="5" t="s">
        <v>21</v>
      </c>
      <c r="H2030" s="5" t="s">
        <v>45</v>
      </c>
    </row>
    <row r="2031" spans="1:8" hidden="1">
      <c r="A2031" s="5" t="s">
        <v>22</v>
      </c>
      <c r="H2031" s="5" t="s">
        <v>45</v>
      </c>
    </row>
    <row r="2032" spans="1:8" hidden="1">
      <c r="A2032" s="5" t="s">
        <v>23</v>
      </c>
      <c r="H2032" s="5" t="s">
        <v>45</v>
      </c>
    </row>
    <row r="2033" spans="1:8" hidden="1">
      <c r="A2033" s="5" t="s">
        <v>24</v>
      </c>
      <c r="H2033" s="5" t="s">
        <v>45</v>
      </c>
    </row>
    <row r="2034" spans="1:8" hidden="1">
      <c r="A2034" s="5" t="s">
        <v>25</v>
      </c>
      <c r="H2034" s="5" t="s">
        <v>45</v>
      </c>
    </row>
    <row r="2035" spans="1:8" hidden="1">
      <c r="A2035" s="5" t="s">
        <v>26</v>
      </c>
      <c r="H2035" s="5" t="s">
        <v>33</v>
      </c>
    </row>
    <row r="2036" spans="1:8" hidden="1">
      <c r="A2036" s="5" t="s">
        <v>27</v>
      </c>
      <c r="H2036" s="5" t="s">
        <v>33</v>
      </c>
    </row>
    <row r="2037" spans="1:8" hidden="1">
      <c r="A2037" s="5" t="s">
        <v>6</v>
      </c>
      <c r="H2037" s="5" t="s">
        <v>33</v>
      </c>
    </row>
    <row r="2038" spans="1:8" hidden="1">
      <c r="A2038" s="5" t="s">
        <v>28</v>
      </c>
      <c r="H2038" s="5" t="s">
        <v>33</v>
      </c>
    </row>
    <row r="2039" spans="1:8" hidden="1">
      <c r="A2039" s="5" t="s">
        <v>29</v>
      </c>
      <c r="H2039" s="5" t="s">
        <v>33</v>
      </c>
    </row>
    <row r="2040" spans="1:8" hidden="1">
      <c r="A2040" s="6"/>
      <c r="H2040" s="5" t="s">
        <v>33</v>
      </c>
    </row>
    <row r="2041" spans="1:8" hidden="1">
      <c r="A2041" s="6"/>
      <c r="H2041" s="5" t="s">
        <v>33</v>
      </c>
    </row>
    <row r="2042" spans="1:8" hidden="1">
      <c r="A2042" s="5" t="s">
        <v>6</v>
      </c>
      <c r="H2042" s="5" t="s">
        <v>33</v>
      </c>
    </row>
    <row r="2043" spans="1:8" hidden="1">
      <c r="A2043" s="5" t="s">
        <v>30</v>
      </c>
      <c r="H2043" s="5" t="s">
        <v>33</v>
      </c>
    </row>
    <row r="2044" spans="1:8" hidden="1">
      <c r="A2044" s="6"/>
      <c r="H2044" s="5" t="s">
        <v>33</v>
      </c>
    </row>
    <row r="2045" spans="1:8" hidden="1">
      <c r="A2045" s="5" t="s">
        <v>31</v>
      </c>
      <c r="H2045" s="5" t="s">
        <v>33</v>
      </c>
    </row>
    <row r="2046" spans="1:8" hidden="1">
      <c r="A2046" s="5" t="s">
        <v>32</v>
      </c>
      <c r="H2046" s="5" t="s">
        <v>33</v>
      </c>
    </row>
    <row r="2047" spans="1:8" hidden="1">
      <c r="A2047" s="5" t="s">
        <v>33</v>
      </c>
      <c r="H2047" s="5" t="s">
        <v>33</v>
      </c>
    </row>
    <row r="2048" spans="1:8" hidden="1">
      <c r="A2048" s="5" t="s">
        <v>34</v>
      </c>
      <c r="H2048" s="5" t="s">
        <v>33</v>
      </c>
    </row>
    <row r="2049" spans="1:8" hidden="1">
      <c r="A2049" s="5" t="s">
        <v>35</v>
      </c>
      <c r="H2049" s="5" t="s">
        <v>33</v>
      </c>
    </row>
    <row r="2050" spans="1:8" hidden="1">
      <c r="A2050" s="5" t="s">
        <v>36</v>
      </c>
      <c r="H2050" s="5" t="s">
        <v>33</v>
      </c>
    </row>
    <row r="2051" spans="1:8" hidden="1">
      <c r="A2051" s="5" t="s">
        <v>37</v>
      </c>
      <c r="H2051" s="5" t="s">
        <v>33</v>
      </c>
    </row>
    <row r="2052" spans="1:8" hidden="1">
      <c r="A2052" s="5" t="s">
        <v>38</v>
      </c>
      <c r="H2052" s="5" t="s">
        <v>33</v>
      </c>
    </row>
    <row r="2053" spans="1:8" hidden="1">
      <c r="A2053" s="5" t="s">
        <v>39</v>
      </c>
      <c r="H2053" s="5" t="s">
        <v>33</v>
      </c>
    </row>
    <row r="2054" spans="1:8" hidden="1">
      <c r="A2054" s="6"/>
      <c r="H2054" s="5" t="s">
        <v>33</v>
      </c>
    </row>
    <row r="2055" spans="1:8" hidden="1">
      <c r="A2055" s="5" t="s">
        <v>211</v>
      </c>
      <c r="H2055" s="5" t="s">
        <v>33</v>
      </c>
    </row>
    <row r="2056" spans="1:8" hidden="1">
      <c r="A2056" s="5" t="s">
        <v>212</v>
      </c>
      <c r="H2056" s="5" t="s">
        <v>33</v>
      </c>
    </row>
    <row r="2057" spans="1:8" hidden="1">
      <c r="A2057" s="6"/>
      <c r="H2057" s="5" t="s">
        <v>33</v>
      </c>
    </row>
    <row r="2058" spans="1:8" hidden="1">
      <c r="A2058" s="6"/>
      <c r="H2058" s="5" t="s">
        <v>33</v>
      </c>
    </row>
    <row r="2059" spans="1:8" hidden="1">
      <c r="A2059" s="6"/>
      <c r="H2059" s="5" t="s">
        <v>33</v>
      </c>
    </row>
    <row r="2060" spans="1:8" hidden="1">
      <c r="A2060" s="6"/>
      <c r="H2060" s="5" t="s">
        <v>33</v>
      </c>
    </row>
    <row r="2061" spans="1:8" hidden="1">
      <c r="A2061" s="5" t="s">
        <v>6</v>
      </c>
      <c r="H2061" s="5" t="s">
        <v>33</v>
      </c>
    </row>
    <row r="2062" spans="1:8" hidden="1">
      <c r="A2062" s="5" t="s">
        <v>40</v>
      </c>
      <c r="H2062" s="5" t="s">
        <v>33</v>
      </c>
    </row>
    <row r="2063" spans="1:8" hidden="1">
      <c r="A2063" s="6"/>
      <c r="H2063" s="5" t="s">
        <v>33</v>
      </c>
    </row>
    <row r="2064" spans="1:8" hidden="1">
      <c r="A2064" s="5" t="s">
        <v>41</v>
      </c>
      <c r="H2064" s="5" t="s">
        <v>33</v>
      </c>
    </row>
    <row r="2065" spans="1:8" hidden="1">
      <c r="A2065" s="6"/>
      <c r="H2065" s="5" t="s">
        <v>33</v>
      </c>
    </row>
    <row r="2066" spans="1:8" hidden="1">
      <c r="A2066" s="5" t="s">
        <v>42</v>
      </c>
      <c r="H2066" s="5" t="s">
        <v>33</v>
      </c>
    </row>
    <row r="2067" spans="1:8" hidden="1">
      <c r="A2067" s="6"/>
      <c r="H2067" s="5" t="s">
        <v>33</v>
      </c>
    </row>
    <row r="2068" spans="1:8" hidden="1">
      <c r="A2068" s="5" t="s">
        <v>43</v>
      </c>
      <c r="H2068" s="5" t="s">
        <v>33</v>
      </c>
    </row>
    <row r="2069" spans="1:8" hidden="1">
      <c r="A2069" s="5" t="s">
        <v>44</v>
      </c>
      <c r="H2069" s="5" t="s">
        <v>33</v>
      </c>
    </row>
    <row r="2070" spans="1:8" hidden="1">
      <c r="A2070" s="5" t="s">
        <v>45</v>
      </c>
      <c r="H2070" s="5" t="s">
        <v>33</v>
      </c>
    </row>
    <row r="2071" spans="1:8" hidden="1">
      <c r="A2071" s="5" t="s">
        <v>46</v>
      </c>
      <c r="H2071" s="5" t="s">
        <v>33</v>
      </c>
    </row>
    <row r="2072" spans="1:8" hidden="1">
      <c r="A2072" s="5" t="s">
        <v>47</v>
      </c>
      <c r="H2072" s="5" t="s">
        <v>33</v>
      </c>
    </row>
    <row r="2073" spans="1:8" hidden="1">
      <c r="A2073" s="5" t="s">
        <v>37</v>
      </c>
      <c r="H2073" s="5" t="s">
        <v>33</v>
      </c>
    </row>
    <row r="2074" spans="1:8" hidden="1">
      <c r="A2074" s="6"/>
      <c r="H2074" s="5" t="s">
        <v>33</v>
      </c>
    </row>
    <row r="2075" spans="1:8" hidden="1">
      <c r="A2075" s="5" t="s">
        <v>211</v>
      </c>
      <c r="H2075" s="5" t="s">
        <v>33</v>
      </c>
    </row>
    <row r="2076" spans="1:8" hidden="1">
      <c r="A2076" s="5" t="s">
        <v>212</v>
      </c>
      <c r="H2076" s="5" t="s">
        <v>33</v>
      </c>
    </row>
    <row r="2077" spans="1:8" hidden="1">
      <c r="A2077" s="6"/>
      <c r="H2077" s="5" t="s">
        <v>33</v>
      </c>
    </row>
    <row r="2078" spans="1:8" hidden="1">
      <c r="A2078" s="6"/>
      <c r="H2078" s="5" t="s">
        <v>33</v>
      </c>
    </row>
    <row r="2079" spans="1:8" hidden="1">
      <c r="A2079" s="5" t="s">
        <v>3</v>
      </c>
      <c r="H2079" s="5" t="s">
        <v>33</v>
      </c>
    </row>
    <row r="2080" spans="1:8" hidden="1">
      <c r="A2080" s="5" t="s">
        <v>4</v>
      </c>
      <c r="H2080" s="5" t="s">
        <v>33</v>
      </c>
    </row>
    <row r="2081" spans="1:8" hidden="1">
      <c r="A2081" s="5" t="s">
        <v>5</v>
      </c>
      <c r="H2081" s="5" t="s">
        <v>33</v>
      </c>
    </row>
    <row r="2082" spans="1:8" hidden="1">
      <c r="A2082" s="5" t="s">
        <v>6</v>
      </c>
      <c r="H2082" s="5" t="s">
        <v>33</v>
      </c>
    </row>
    <row r="2083" spans="1:8" hidden="1">
      <c r="A2083" s="5" t="s">
        <v>7</v>
      </c>
      <c r="H2083" s="5" t="s">
        <v>33</v>
      </c>
    </row>
    <row r="2084" spans="1:8" hidden="1">
      <c r="A2084" s="5" t="s">
        <v>6</v>
      </c>
      <c r="H2084" s="5" t="s">
        <v>33</v>
      </c>
    </row>
    <row r="2085" spans="1:8" hidden="1">
      <c r="A2085" s="5" t="s">
        <v>214</v>
      </c>
      <c r="H2085" s="5" t="s">
        <v>33</v>
      </c>
    </row>
    <row r="2086" spans="1:8" hidden="1">
      <c r="A2086" s="5" t="s">
        <v>215</v>
      </c>
      <c r="H2086" s="5" t="s">
        <v>33</v>
      </c>
    </row>
    <row r="2087" spans="1:8" hidden="1">
      <c r="A2087" s="6"/>
      <c r="H2087" s="5" t="s">
        <v>33</v>
      </c>
    </row>
    <row r="2088" spans="1:8" hidden="1">
      <c r="A2088" s="5" t="s">
        <v>82</v>
      </c>
      <c r="H2088" s="5" t="s">
        <v>33</v>
      </c>
    </row>
    <row r="2089" spans="1:8" hidden="1">
      <c r="A2089" s="5" t="s">
        <v>216</v>
      </c>
      <c r="H2089" s="5" t="s">
        <v>33</v>
      </c>
    </row>
    <row r="2090" spans="1:8" hidden="1">
      <c r="A2090" s="5" t="s">
        <v>217</v>
      </c>
      <c r="H2090" s="5" t="s">
        <v>33</v>
      </c>
    </row>
    <row r="2091" spans="1:8" hidden="1">
      <c r="A2091" s="5" t="s">
        <v>103</v>
      </c>
      <c r="H2091" s="5" t="s">
        <v>33</v>
      </c>
    </row>
    <row r="2092" spans="1:8" hidden="1">
      <c r="A2092" s="5" t="s">
        <v>6</v>
      </c>
      <c r="H2092" s="5" t="s">
        <v>33</v>
      </c>
    </row>
    <row r="2093" spans="1:8" hidden="1">
      <c r="A2093" s="5" t="s">
        <v>83</v>
      </c>
      <c r="H2093" s="5" t="s">
        <v>33</v>
      </c>
    </row>
    <row r="2094" spans="1:8" hidden="1">
      <c r="A2094" s="5" t="s">
        <v>17</v>
      </c>
      <c r="H2094" s="5" t="s">
        <v>33</v>
      </c>
    </row>
    <row r="2095" spans="1:8" hidden="1">
      <c r="A2095" s="5" t="s">
        <v>84</v>
      </c>
      <c r="H2095" s="5" t="s">
        <v>33</v>
      </c>
    </row>
    <row r="2096" spans="1:8" hidden="1">
      <c r="A2096" s="5" t="s">
        <v>218</v>
      </c>
      <c r="H2096" s="5" t="s">
        <v>33</v>
      </c>
    </row>
    <row r="2097" spans="1:8" hidden="1">
      <c r="A2097" s="6"/>
      <c r="H2097" s="5" t="s">
        <v>33</v>
      </c>
    </row>
    <row r="2098" spans="1:8" hidden="1">
      <c r="A2098" s="5" t="s">
        <v>18</v>
      </c>
      <c r="H2098" s="5" t="s">
        <v>33</v>
      </c>
    </row>
    <row r="2099" spans="1:8" hidden="1">
      <c r="A2099" s="7">
        <v>19800</v>
      </c>
      <c r="H2099" s="5" t="s">
        <v>43</v>
      </c>
    </row>
    <row r="2100" spans="1:8" hidden="1">
      <c r="A2100" s="6"/>
      <c r="H2100" s="5" t="s">
        <v>43</v>
      </c>
    </row>
    <row r="2101" spans="1:8" hidden="1">
      <c r="A2101" s="5" t="s">
        <v>19</v>
      </c>
      <c r="H2101" s="5" t="s">
        <v>43</v>
      </c>
    </row>
    <row r="2102" spans="1:8" hidden="1">
      <c r="A2102" s="5" t="s">
        <v>20</v>
      </c>
      <c r="H2102" s="5" t="s">
        <v>43</v>
      </c>
    </row>
    <row r="2103" spans="1:8" hidden="1">
      <c r="A2103" s="5" t="s">
        <v>21</v>
      </c>
      <c r="H2103" s="5" t="s">
        <v>43</v>
      </c>
    </row>
    <row r="2104" spans="1:8" hidden="1">
      <c r="A2104" s="5" t="s">
        <v>22</v>
      </c>
      <c r="H2104" s="5" t="s">
        <v>43</v>
      </c>
    </row>
    <row r="2105" spans="1:8" hidden="1">
      <c r="A2105" s="5" t="s">
        <v>23</v>
      </c>
      <c r="H2105" s="5" t="s">
        <v>43</v>
      </c>
    </row>
    <row r="2106" spans="1:8" hidden="1">
      <c r="A2106" s="5" t="s">
        <v>24</v>
      </c>
      <c r="H2106" s="5" t="s">
        <v>43</v>
      </c>
    </row>
    <row r="2107" spans="1:8" hidden="1">
      <c r="A2107" s="5" t="s">
        <v>25</v>
      </c>
      <c r="H2107" s="5" t="s">
        <v>43</v>
      </c>
    </row>
    <row r="2108" spans="1:8" hidden="1">
      <c r="A2108" s="5" t="s">
        <v>26</v>
      </c>
      <c r="H2108" s="5" t="s">
        <v>43</v>
      </c>
    </row>
    <row r="2109" spans="1:8" hidden="1">
      <c r="A2109" s="5" t="s">
        <v>27</v>
      </c>
      <c r="H2109" s="5" t="s">
        <v>43</v>
      </c>
    </row>
    <row r="2110" spans="1:8" hidden="1">
      <c r="A2110" s="5" t="s">
        <v>6</v>
      </c>
      <c r="H2110" s="5" t="s">
        <v>43</v>
      </c>
    </row>
    <row r="2111" spans="1:8" hidden="1">
      <c r="A2111" s="5" t="s">
        <v>28</v>
      </c>
      <c r="H2111" s="5" t="s">
        <v>43</v>
      </c>
    </row>
    <row r="2112" spans="1:8" hidden="1">
      <c r="A2112" s="5" t="s">
        <v>29</v>
      </c>
      <c r="H2112" s="5" t="s">
        <v>43</v>
      </c>
    </row>
    <row r="2113" spans="1:8" hidden="1">
      <c r="A2113" s="6"/>
      <c r="H2113" s="5" t="s">
        <v>43</v>
      </c>
    </row>
    <row r="2114" spans="1:8" hidden="1">
      <c r="A2114" s="6"/>
      <c r="H2114" s="5" t="s">
        <v>43</v>
      </c>
    </row>
    <row r="2115" spans="1:8" hidden="1">
      <c r="A2115" s="5" t="s">
        <v>6</v>
      </c>
      <c r="H2115" s="5" t="s">
        <v>43</v>
      </c>
    </row>
    <row r="2116" spans="1:8" hidden="1">
      <c r="A2116" s="5" t="s">
        <v>30</v>
      </c>
      <c r="H2116" s="5" t="s">
        <v>43</v>
      </c>
    </row>
    <row r="2117" spans="1:8" hidden="1">
      <c r="A2117" s="6"/>
      <c r="H2117" s="5" t="s">
        <v>43</v>
      </c>
    </row>
    <row r="2118" spans="1:8" hidden="1">
      <c r="A2118" s="5" t="s">
        <v>31</v>
      </c>
      <c r="H2118" s="5" t="s">
        <v>43</v>
      </c>
    </row>
    <row r="2119" spans="1:8" hidden="1">
      <c r="A2119" s="5" t="s">
        <v>32</v>
      </c>
      <c r="H2119" s="5" t="s">
        <v>43</v>
      </c>
    </row>
    <row r="2120" spans="1:8" hidden="1">
      <c r="A2120" s="5" t="s">
        <v>33</v>
      </c>
      <c r="H2120" s="5" t="s">
        <v>43</v>
      </c>
    </row>
    <row r="2121" spans="1:8" hidden="1">
      <c r="A2121" s="5" t="s">
        <v>34</v>
      </c>
      <c r="H2121" s="5" t="s">
        <v>43</v>
      </c>
    </row>
    <row r="2122" spans="1:8" hidden="1">
      <c r="A2122" s="5" t="s">
        <v>35</v>
      </c>
      <c r="H2122" s="5" t="s">
        <v>43</v>
      </c>
    </row>
    <row r="2123" spans="1:8" hidden="1">
      <c r="A2123" s="5" t="s">
        <v>36</v>
      </c>
      <c r="H2123" s="5" t="s">
        <v>43</v>
      </c>
    </row>
    <row r="2124" spans="1:8" hidden="1">
      <c r="A2124" s="5" t="s">
        <v>37</v>
      </c>
      <c r="H2124" s="5" t="s">
        <v>43</v>
      </c>
    </row>
    <row r="2125" spans="1:8" hidden="1">
      <c r="A2125" s="5" t="s">
        <v>38</v>
      </c>
      <c r="H2125" s="5" t="s">
        <v>43</v>
      </c>
    </row>
    <row r="2126" spans="1:8" hidden="1">
      <c r="A2126" s="5" t="s">
        <v>39</v>
      </c>
      <c r="H2126" s="5" t="s">
        <v>43</v>
      </c>
    </row>
    <row r="2127" spans="1:8" hidden="1">
      <c r="A2127" s="6"/>
      <c r="H2127" s="5" t="s">
        <v>43</v>
      </c>
    </row>
    <row r="2128" spans="1:8" hidden="1">
      <c r="A2128" s="5" t="s">
        <v>214</v>
      </c>
      <c r="H2128" s="5" t="s">
        <v>43</v>
      </c>
    </row>
    <row r="2129" spans="1:8" hidden="1">
      <c r="A2129" s="5" t="s">
        <v>215</v>
      </c>
      <c r="H2129" s="5" t="s">
        <v>43</v>
      </c>
    </row>
    <row r="2130" spans="1:8" hidden="1">
      <c r="A2130" s="6"/>
      <c r="H2130" s="5" t="s">
        <v>43</v>
      </c>
    </row>
    <row r="2131" spans="1:8" hidden="1">
      <c r="A2131" s="6"/>
      <c r="H2131" s="5" t="s">
        <v>43</v>
      </c>
    </row>
    <row r="2132" spans="1:8" hidden="1">
      <c r="A2132" s="5" t="s">
        <v>3</v>
      </c>
      <c r="H2132" s="5" t="s">
        <v>43</v>
      </c>
    </row>
    <row r="2133" spans="1:8" hidden="1">
      <c r="A2133" s="5" t="s">
        <v>4</v>
      </c>
      <c r="H2133" s="5" t="s">
        <v>43</v>
      </c>
    </row>
    <row r="2134" spans="1:8" hidden="1">
      <c r="A2134" s="5" t="s">
        <v>5</v>
      </c>
      <c r="H2134" s="5" t="s">
        <v>43</v>
      </c>
    </row>
    <row r="2135" spans="1:8" hidden="1">
      <c r="A2135" s="5" t="s">
        <v>6</v>
      </c>
      <c r="H2135" s="5" t="s">
        <v>43</v>
      </c>
    </row>
    <row r="2136" spans="1:8" hidden="1">
      <c r="A2136" s="5" t="s">
        <v>7</v>
      </c>
      <c r="H2136" s="5" t="s">
        <v>43</v>
      </c>
    </row>
    <row r="2137" spans="1:8" hidden="1">
      <c r="A2137" s="5" t="s">
        <v>6</v>
      </c>
      <c r="H2137" s="5" t="s">
        <v>43</v>
      </c>
    </row>
    <row r="2138" spans="1:8" hidden="1">
      <c r="A2138" s="5" t="s">
        <v>219</v>
      </c>
      <c r="H2138" s="5" t="s">
        <v>43</v>
      </c>
    </row>
    <row r="2139" spans="1:8" hidden="1">
      <c r="A2139" s="5" t="s">
        <v>220</v>
      </c>
      <c r="H2139" s="5" t="s">
        <v>43</v>
      </c>
    </row>
    <row r="2140" spans="1:8" hidden="1">
      <c r="A2140" s="6"/>
      <c r="H2140" s="5" t="s">
        <v>43</v>
      </c>
    </row>
    <row r="2141" spans="1:8" hidden="1">
      <c r="A2141" s="6"/>
      <c r="H2141" s="5" t="s">
        <v>43</v>
      </c>
    </row>
    <row r="2142" spans="1:8" hidden="1">
      <c r="A2142" s="5" t="s">
        <v>221</v>
      </c>
      <c r="H2142" s="5" t="s">
        <v>43</v>
      </c>
    </row>
    <row r="2143" spans="1:8" hidden="1">
      <c r="A2143" s="6"/>
      <c r="H2143" s="5" t="s">
        <v>43</v>
      </c>
    </row>
    <row r="2144" spans="1:8" hidden="1">
      <c r="A2144" s="5" t="s">
        <v>222</v>
      </c>
      <c r="H2144" s="5" t="s">
        <v>43</v>
      </c>
    </row>
    <row r="2145" spans="1:8" hidden="1">
      <c r="A2145" s="6"/>
      <c r="H2145" s="5" t="s">
        <v>43</v>
      </c>
    </row>
    <row r="2146" spans="1:8" hidden="1">
      <c r="A2146" s="5" t="s">
        <v>3</v>
      </c>
      <c r="H2146" s="5" t="s">
        <v>39</v>
      </c>
    </row>
    <row r="2147" spans="1:8" hidden="1">
      <c r="A2147" s="5" t="s">
        <v>4</v>
      </c>
      <c r="H2147" s="5" t="s">
        <v>39</v>
      </c>
    </row>
    <row r="2148" spans="1:8" hidden="1">
      <c r="A2148" s="5" t="s">
        <v>5</v>
      </c>
      <c r="H2148" s="5" t="s">
        <v>39</v>
      </c>
    </row>
    <row r="2149" spans="1:8" hidden="1">
      <c r="A2149" s="5" t="s">
        <v>6</v>
      </c>
      <c r="H2149" s="5" t="s">
        <v>39</v>
      </c>
    </row>
    <row r="2150" spans="1:8" hidden="1">
      <c r="A2150" s="5" t="s">
        <v>7</v>
      </c>
      <c r="H2150" s="5" t="s">
        <v>39</v>
      </c>
    </row>
    <row r="2151" spans="1:8" hidden="1">
      <c r="A2151" s="5" t="s">
        <v>6</v>
      </c>
      <c r="H2151" s="5" t="s">
        <v>39</v>
      </c>
    </row>
    <row r="2152" spans="1:8" hidden="1">
      <c r="A2152" s="5" t="s">
        <v>223</v>
      </c>
      <c r="H2152" s="5" t="s">
        <v>39</v>
      </c>
    </row>
    <row r="2153" spans="1:8" hidden="1">
      <c r="A2153" s="5" t="s">
        <v>224</v>
      </c>
      <c r="H2153" s="5" t="s">
        <v>39</v>
      </c>
    </row>
    <row r="2154" spans="1:8" hidden="1">
      <c r="A2154" s="6"/>
      <c r="H2154" s="5" t="s">
        <v>39</v>
      </c>
    </row>
    <row r="2155" spans="1:8" hidden="1">
      <c r="A2155" s="6"/>
      <c r="H2155" s="5" t="s">
        <v>39</v>
      </c>
    </row>
    <row r="2156" spans="1:8" hidden="1">
      <c r="A2156" s="5" t="s">
        <v>225</v>
      </c>
      <c r="H2156" s="5" t="s">
        <v>39</v>
      </c>
    </row>
    <row r="2157" spans="1:8" hidden="1">
      <c r="A2157" s="5" t="s">
        <v>226</v>
      </c>
      <c r="H2157" s="5" t="s">
        <v>39</v>
      </c>
    </row>
    <row r="2158" spans="1:8" hidden="1">
      <c r="A2158" s="5" t="s">
        <v>6</v>
      </c>
      <c r="H2158" s="5" t="s">
        <v>39</v>
      </c>
    </row>
    <row r="2159" spans="1:8" hidden="1">
      <c r="A2159" s="5" t="s">
        <v>227</v>
      </c>
      <c r="H2159" s="5" t="s">
        <v>39</v>
      </c>
    </row>
    <row r="2160" spans="1:8" hidden="1">
      <c r="A2160" s="5" t="s">
        <v>228</v>
      </c>
      <c r="H2160" s="5" t="s">
        <v>39</v>
      </c>
    </row>
    <row r="2161" spans="1:8" hidden="1">
      <c r="A2161" s="6"/>
      <c r="H2161" s="5" t="s">
        <v>39</v>
      </c>
    </row>
    <row r="2162" spans="1:8" hidden="1">
      <c r="A2162" s="5" t="s">
        <v>19</v>
      </c>
      <c r="H2162" s="5" t="s">
        <v>39</v>
      </c>
    </row>
    <row r="2163" spans="1:8" hidden="1">
      <c r="A2163" s="5" t="s">
        <v>20</v>
      </c>
      <c r="H2163" s="5" t="s">
        <v>39</v>
      </c>
    </row>
    <row r="2164" spans="1:8" hidden="1">
      <c r="A2164" s="5" t="s">
        <v>21</v>
      </c>
      <c r="H2164" s="5" t="s">
        <v>39</v>
      </c>
    </row>
    <row r="2165" spans="1:8" hidden="1">
      <c r="A2165" s="5" t="s">
        <v>22</v>
      </c>
      <c r="H2165" s="5" t="s">
        <v>39</v>
      </c>
    </row>
    <row r="2166" spans="1:8" hidden="1">
      <c r="A2166" s="5" t="s">
        <v>23</v>
      </c>
      <c r="H2166" s="5" t="s">
        <v>39</v>
      </c>
    </row>
    <row r="2167" spans="1:8" hidden="1">
      <c r="A2167" s="5" t="s">
        <v>24</v>
      </c>
      <c r="H2167" s="5" t="s">
        <v>39</v>
      </c>
    </row>
    <row r="2168" spans="1:8" hidden="1">
      <c r="A2168" s="5" t="s">
        <v>25</v>
      </c>
      <c r="H2168" s="5" t="s">
        <v>39</v>
      </c>
    </row>
    <row r="2169" spans="1:8" hidden="1">
      <c r="A2169" s="5" t="s">
        <v>26</v>
      </c>
      <c r="H2169" s="5" t="s">
        <v>39</v>
      </c>
    </row>
    <row r="2170" spans="1:8" hidden="1">
      <c r="A2170" s="5" t="s">
        <v>27</v>
      </c>
      <c r="H2170" s="5" t="s">
        <v>39</v>
      </c>
    </row>
    <row r="2171" spans="1:8" hidden="1">
      <c r="A2171" s="5" t="s">
        <v>6</v>
      </c>
      <c r="H2171" s="5" t="s">
        <v>39</v>
      </c>
    </row>
    <row r="2172" spans="1:8" hidden="1">
      <c r="A2172" s="5" t="s">
        <v>28</v>
      </c>
      <c r="H2172" s="5" t="s">
        <v>39</v>
      </c>
    </row>
    <row r="2173" spans="1:8" hidden="1">
      <c r="A2173" s="5" t="s">
        <v>29</v>
      </c>
      <c r="H2173" s="5" t="s">
        <v>39</v>
      </c>
    </row>
    <row r="2174" spans="1:8" hidden="1">
      <c r="A2174" s="5" t="s">
        <v>3</v>
      </c>
      <c r="H2174" s="5" t="s">
        <v>39</v>
      </c>
    </row>
    <row r="2175" spans="1:8" hidden="1">
      <c r="A2175" s="5" t="s">
        <v>4</v>
      </c>
      <c r="H2175" s="5" t="s">
        <v>39</v>
      </c>
    </row>
    <row r="2176" spans="1:8" hidden="1">
      <c r="A2176" s="5" t="s">
        <v>5</v>
      </c>
      <c r="H2176" s="5" t="s">
        <v>39</v>
      </c>
    </row>
    <row r="2177" spans="1:8" hidden="1">
      <c r="A2177" s="5" t="s">
        <v>6</v>
      </c>
      <c r="H2177" s="5" t="s">
        <v>39</v>
      </c>
    </row>
    <row r="2178" spans="1:8" hidden="1">
      <c r="A2178" s="5" t="s">
        <v>7</v>
      </c>
      <c r="H2178" s="5" t="s">
        <v>39</v>
      </c>
    </row>
    <row r="2179" spans="1:8" hidden="1">
      <c r="A2179" s="5" t="s">
        <v>6</v>
      </c>
      <c r="H2179" s="5" t="s">
        <v>39</v>
      </c>
    </row>
    <row r="2180" spans="1:8" hidden="1">
      <c r="A2180" s="5" t="s">
        <v>229</v>
      </c>
      <c r="H2180" s="5" t="s">
        <v>39</v>
      </c>
    </row>
    <row r="2181" spans="1:8" hidden="1">
      <c r="A2181" s="5" t="s">
        <v>230</v>
      </c>
      <c r="H2181" s="5" t="s">
        <v>39</v>
      </c>
    </row>
    <row r="2182" spans="1:8" hidden="1">
      <c r="A2182" s="6"/>
      <c r="H2182" s="5" t="s">
        <v>39</v>
      </c>
    </row>
    <row r="2183" spans="1:8" hidden="1">
      <c r="A2183" s="5" t="s">
        <v>231</v>
      </c>
      <c r="H2183" s="5" t="s">
        <v>39</v>
      </c>
    </row>
    <row r="2184" spans="1:8" hidden="1">
      <c r="A2184" s="5" t="s">
        <v>232</v>
      </c>
      <c r="H2184" s="5" t="s">
        <v>39</v>
      </c>
    </row>
    <row r="2185" spans="1:8" hidden="1">
      <c r="A2185" s="5" t="s">
        <v>233</v>
      </c>
      <c r="H2185" s="5" t="s">
        <v>39</v>
      </c>
    </row>
    <row r="2186" spans="1:8" hidden="1">
      <c r="A2186" s="5" t="s">
        <v>6</v>
      </c>
      <c r="H2186" s="5" t="s">
        <v>39</v>
      </c>
    </row>
    <row r="2187" spans="1:8" hidden="1">
      <c r="A2187" s="5" t="s">
        <v>234</v>
      </c>
      <c r="H2187" s="5" t="s">
        <v>39</v>
      </c>
    </row>
    <row r="2188" spans="1:8" hidden="1">
      <c r="A2188" s="5" t="s">
        <v>17</v>
      </c>
      <c r="H2188" s="5" t="s">
        <v>39</v>
      </c>
    </row>
    <row r="2189" spans="1:8" hidden="1">
      <c r="A2189" s="6"/>
      <c r="H2189" s="5" t="s">
        <v>39</v>
      </c>
    </row>
    <row r="2190" spans="1:8" hidden="1">
      <c r="A2190" s="5" t="s">
        <v>18</v>
      </c>
      <c r="H2190" s="5" t="s">
        <v>39</v>
      </c>
    </row>
    <row r="2191" spans="1:8" hidden="1">
      <c r="A2191" s="7">
        <v>25000</v>
      </c>
      <c r="H2191" s="5" t="s">
        <v>39</v>
      </c>
    </row>
    <row r="2192" spans="1:8" hidden="1">
      <c r="A2192" s="6"/>
      <c r="H2192" s="5" t="s">
        <v>39</v>
      </c>
    </row>
    <row r="2193" spans="1:8" hidden="1">
      <c r="A2193" s="5" t="s">
        <v>19</v>
      </c>
      <c r="H2193" s="5" t="s">
        <v>39</v>
      </c>
    </row>
    <row r="2194" spans="1:8" hidden="1">
      <c r="A2194" s="5" t="s">
        <v>20</v>
      </c>
      <c r="H2194" s="5" t="s">
        <v>39</v>
      </c>
    </row>
    <row r="2195" spans="1:8" hidden="1">
      <c r="A2195" s="5" t="s">
        <v>21</v>
      </c>
      <c r="H2195" s="5" t="s">
        <v>39</v>
      </c>
    </row>
    <row r="2196" spans="1:8" hidden="1">
      <c r="A2196" s="5" t="s">
        <v>22</v>
      </c>
      <c r="H2196" s="5" t="s">
        <v>39</v>
      </c>
    </row>
    <row r="2197" spans="1:8" hidden="1">
      <c r="A2197" s="5" t="s">
        <v>23</v>
      </c>
      <c r="H2197" s="5" t="s">
        <v>39</v>
      </c>
    </row>
    <row r="2198" spans="1:8" hidden="1">
      <c r="A2198" s="5" t="s">
        <v>24</v>
      </c>
      <c r="H2198" s="5" t="s">
        <v>39</v>
      </c>
    </row>
    <row r="2199" spans="1:8" hidden="1">
      <c r="A2199" s="5" t="s">
        <v>25</v>
      </c>
      <c r="H2199" s="5" t="s">
        <v>39</v>
      </c>
    </row>
    <row r="2200" spans="1:8" hidden="1">
      <c r="A2200" s="5" t="s">
        <v>26</v>
      </c>
      <c r="H2200" s="5" t="s">
        <v>39</v>
      </c>
    </row>
    <row r="2201" spans="1:8" hidden="1">
      <c r="A2201" s="5" t="s">
        <v>27</v>
      </c>
      <c r="H2201" s="5" t="s">
        <v>39</v>
      </c>
    </row>
    <row r="2202" spans="1:8" hidden="1">
      <c r="A2202" s="5" t="s">
        <v>6</v>
      </c>
      <c r="H2202" s="5" t="s">
        <v>39</v>
      </c>
    </row>
    <row r="2203" spans="1:8" hidden="1">
      <c r="A2203" s="5" t="s">
        <v>28</v>
      </c>
      <c r="H2203" s="5" t="s">
        <v>39</v>
      </c>
    </row>
    <row r="2204" spans="1:8" hidden="1">
      <c r="A2204" s="5" t="s">
        <v>29</v>
      </c>
      <c r="H2204" s="5" t="s">
        <v>39</v>
      </c>
    </row>
    <row r="2205" spans="1:8" hidden="1">
      <c r="A2205" s="6"/>
      <c r="H2205" s="5" t="s">
        <v>39</v>
      </c>
    </row>
    <row r="2206" spans="1:8" hidden="1">
      <c r="A2206" s="6"/>
      <c r="H2206" s="5" t="s">
        <v>39</v>
      </c>
    </row>
    <row r="2207" spans="1:8" hidden="1">
      <c r="A2207" s="5" t="s">
        <v>6</v>
      </c>
      <c r="H2207" s="5" t="s">
        <v>39</v>
      </c>
    </row>
    <row r="2208" spans="1:8" hidden="1">
      <c r="A2208" s="5" t="s">
        <v>30</v>
      </c>
      <c r="H2208" s="5" t="s">
        <v>39</v>
      </c>
    </row>
    <row r="2209" spans="1:8" hidden="1">
      <c r="A2209" s="6"/>
      <c r="H2209" s="5" t="s">
        <v>39</v>
      </c>
    </row>
    <row r="2210" spans="1:8" hidden="1">
      <c r="A2210" s="5" t="s">
        <v>31</v>
      </c>
      <c r="H2210" s="5" t="s">
        <v>26</v>
      </c>
    </row>
    <row r="2211" spans="1:8" hidden="1">
      <c r="A2211" s="5" t="s">
        <v>32</v>
      </c>
      <c r="H2211" s="5" t="s">
        <v>26</v>
      </c>
    </row>
    <row r="2212" spans="1:8" hidden="1">
      <c r="A2212" s="5" t="s">
        <v>33</v>
      </c>
      <c r="H2212" s="5" t="s">
        <v>26</v>
      </c>
    </row>
    <row r="2213" spans="1:8" hidden="1">
      <c r="A2213" s="5" t="s">
        <v>34</v>
      </c>
      <c r="H2213" s="5" t="s">
        <v>26</v>
      </c>
    </row>
    <row r="2214" spans="1:8" hidden="1">
      <c r="A2214" s="5" t="s">
        <v>35</v>
      </c>
      <c r="H2214" s="5" t="s">
        <v>26</v>
      </c>
    </row>
    <row r="2215" spans="1:8" hidden="1">
      <c r="A2215" s="5" t="s">
        <v>36</v>
      </c>
      <c r="H2215" s="5" t="s">
        <v>26</v>
      </c>
    </row>
    <row r="2216" spans="1:8" hidden="1">
      <c r="A2216" s="5" t="s">
        <v>37</v>
      </c>
      <c r="H2216" s="5" t="s">
        <v>26</v>
      </c>
    </row>
    <row r="2217" spans="1:8" hidden="1">
      <c r="A2217" s="5" t="s">
        <v>38</v>
      </c>
      <c r="H2217" s="5" t="s">
        <v>26</v>
      </c>
    </row>
    <row r="2218" spans="1:8" hidden="1">
      <c r="A2218" s="5" t="s">
        <v>39</v>
      </c>
      <c r="H2218" s="5" t="s">
        <v>26</v>
      </c>
    </row>
    <row r="2219" spans="1:8" hidden="1">
      <c r="A2219" s="6"/>
      <c r="H2219" s="5" t="s">
        <v>26</v>
      </c>
    </row>
    <row r="2220" spans="1:8" hidden="1">
      <c r="A2220" s="5" t="s">
        <v>229</v>
      </c>
      <c r="H2220" s="5" t="s">
        <v>26</v>
      </c>
    </row>
    <row r="2221" spans="1:8" hidden="1">
      <c r="A2221" s="5" t="s">
        <v>230</v>
      </c>
      <c r="H2221" s="5" t="s">
        <v>26</v>
      </c>
    </row>
    <row r="2222" spans="1:8" hidden="1">
      <c r="A2222" s="6"/>
      <c r="H2222" s="5" t="s">
        <v>26</v>
      </c>
    </row>
    <row r="2223" spans="1:8" hidden="1">
      <c r="A2223" s="6"/>
      <c r="H2223" s="5" t="s">
        <v>26</v>
      </c>
    </row>
    <row r="2224" spans="1:8" hidden="1">
      <c r="A2224" s="6"/>
      <c r="H2224" s="5" t="s">
        <v>26</v>
      </c>
    </row>
    <row r="2225" spans="1:8" hidden="1">
      <c r="A2225" s="6"/>
      <c r="H2225" s="5" t="s">
        <v>26</v>
      </c>
    </row>
    <row r="2226" spans="1:8" hidden="1">
      <c r="A2226" s="5" t="s">
        <v>6</v>
      </c>
      <c r="H2226" s="5" t="s">
        <v>26</v>
      </c>
    </row>
    <row r="2227" spans="1:8" hidden="1">
      <c r="A2227" s="5" t="s">
        <v>40</v>
      </c>
      <c r="H2227" s="5" t="s">
        <v>26</v>
      </c>
    </row>
    <row r="2228" spans="1:8" hidden="1">
      <c r="A2228" s="6"/>
      <c r="H2228" s="5" t="s">
        <v>26</v>
      </c>
    </row>
    <row r="2229" spans="1:8" hidden="1">
      <c r="A2229" s="5" t="s">
        <v>41</v>
      </c>
      <c r="H2229" s="5" t="s">
        <v>26</v>
      </c>
    </row>
    <row r="2230" spans="1:8" hidden="1">
      <c r="A2230" s="6"/>
      <c r="H2230" s="5" t="s">
        <v>26</v>
      </c>
    </row>
    <row r="2231" spans="1:8" hidden="1">
      <c r="A2231" s="5" t="s">
        <v>42</v>
      </c>
      <c r="H2231" s="5" t="s">
        <v>26</v>
      </c>
    </row>
    <row r="2232" spans="1:8" hidden="1">
      <c r="A2232" s="6"/>
      <c r="H2232" s="5" t="s">
        <v>26</v>
      </c>
    </row>
    <row r="2233" spans="1:8" hidden="1">
      <c r="A2233" s="5" t="s">
        <v>43</v>
      </c>
      <c r="H2233" s="5" t="s">
        <v>26</v>
      </c>
    </row>
    <row r="2234" spans="1:8" hidden="1">
      <c r="A2234" s="5" t="s">
        <v>44</v>
      </c>
      <c r="H2234" s="5" t="s">
        <v>26</v>
      </c>
    </row>
    <row r="2235" spans="1:8" hidden="1">
      <c r="A2235" s="5" t="s">
        <v>45</v>
      </c>
      <c r="H2235" s="5" t="s">
        <v>26</v>
      </c>
    </row>
    <row r="2236" spans="1:8" hidden="1">
      <c r="A2236" s="5" t="s">
        <v>46</v>
      </c>
      <c r="H2236" s="5" t="s">
        <v>26</v>
      </c>
    </row>
    <row r="2237" spans="1:8" hidden="1">
      <c r="A2237" s="5" t="s">
        <v>47</v>
      </c>
      <c r="H2237" s="5" t="s">
        <v>26</v>
      </c>
    </row>
    <row r="2238" spans="1:8" hidden="1">
      <c r="A2238" s="5" t="s">
        <v>37</v>
      </c>
      <c r="H2238" s="5" t="s">
        <v>26</v>
      </c>
    </row>
    <row r="2239" spans="1:8" hidden="1">
      <c r="A2239" s="6"/>
      <c r="H2239" s="5" t="s">
        <v>26</v>
      </c>
    </row>
    <row r="2240" spans="1:8" hidden="1">
      <c r="A2240" s="5" t="s">
        <v>229</v>
      </c>
      <c r="H2240" s="5" t="s">
        <v>26</v>
      </c>
    </row>
    <row r="2241" spans="1:8" hidden="1">
      <c r="A2241" s="5" t="s">
        <v>230</v>
      </c>
      <c r="H2241" s="5" t="s">
        <v>26</v>
      </c>
    </row>
    <row r="2242" spans="1:8" hidden="1">
      <c r="A2242" s="6"/>
      <c r="H2242" s="5" t="s">
        <v>26</v>
      </c>
    </row>
    <row r="2243" spans="1:8" hidden="1">
      <c r="A2243" s="6"/>
      <c r="H2243" s="5" t="s">
        <v>26</v>
      </c>
    </row>
    <row r="2244" spans="1:8" hidden="1">
      <c r="A2244" s="5" t="s">
        <v>3</v>
      </c>
      <c r="H2244" s="5" t="s">
        <v>26</v>
      </c>
    </row>
    <row r="2245" spans="1:8" hidden="1">
      <c r="A2245" s="5" t="s">
        <v>4</v>
      </c>
      <c r="H2245" s="5" t="s">
        <v>26</v>
      </c>
    </row>
    <row r="2246" spans="1:8" hidden="1">
      <c r="A2246" s="5" t="s">
        <v>5</v>
      </c>
      <c r="H2246" s="5" t="s">
        <v>26</v>
      </c>
    </row>
    <row r="2247" spans="1:8" hidden="1">
      <c r="A2247" s="5" t="s">
        <v>6</v>
      </c>
      <c r="H2247" s="5" t="s">
        <v>26</v>
      </c>
    </row>
    <row r="2248" spans="1:8" hidden="1">
      <c r="A2248" s="5" t="s">
        <v>7</v>
      </c>
      <c r="H2248" s="5" t="s">
        <v>26</v>
      </c>
    </row>
    <row r="2249" spans="1:8" hidden="1">
      <c r="A2249" s="5" t="s">
        <v>6</v>
      </c>
      <c r="H2249" s="5" t="s">
        <v>26</v>
      </c>
    </row>
    <row r="2250" spans="1:8" hidden="1">
      <c r="A2250" s="5" t="s">
        <v>235</v>
      </c>
      <c r="H2250" s="5" t="s">
        <v>26</v>
      </c>
    </row>
    <row r="2251" spans="1:8" hidden="1">
      <c r="A2251" s="5" t="s">
        <v>236</v>
      </c>
      <c r="H2251" s="5" t="s">
        <v>26</v>
      </c>
    </row>
    <row r="2252" spans="1:8" hidden="1">
      <c r="A2252" s="6"/>
      <c r="H2252" s="5" t="s">
        <v>26</v>
      </c>
    </row>
    <row r="2253" spans="1:8" hidden="1">
      <c r="A2253" s="5" t="s">
        <v>237</v>
      </c>
      <c r="H2253" s="5" t="s">
        <v>26</v>
      </c>
    </row>
    <row r="2254" spans="1:8" hidden="1">
      <c r="A2254" s="5" t="s">
        <v>232</v>
      </c>
      <c r="H2254" s="5" t="s">
        <v>26</v>
      </c>
    </row>
    <row r="2255" spans="1:8" hidden="1">
      <c r="A2255" s="5" t="s">
        <v>233</v>
      </c>
      <c r="H2255" s="5" t="s">
        <v>26</v>
      </c>
    </row>
    <row r="2256" spans="1:8" hidden="1">
      <c r="A2256" s="5" t="s">
        <v>119</v>
      </c>
      <c r="H2256" s="5" t="s">
        <v>26</v>
      </c>
    </row>
    <row r="2257" spans="1:8" hidden="1">
      <c r="A2257" s="5" t="s">
        <v>6</v>
      </c>
      <c r="H2257" s="5" t="s">
        <v>26</v>
      </c>
    </row>
    <row r="2258" spans="1:8" hidden="1">
      <c r="A2258" s="5" t="s">
        <v>100</v>
      </c>
      <c r="H2258" s="5" t="s">
        <v>26</v>
      </c>
    </row>
    <row r="2259" spans="1:8" hidden="1">
      <c r="A2259" s="5" t="s">
        <v>17</v>
      </c>
      <c r="H2259" s="5" t="s">
        <v>26</v>
      </c>
    </row>
    <row r="2260" spans="1:8" hidden="1">
      <c r="A2260" s="5" t="s">
        <v>238</v>
      </c>
      <c r="H2260" s="5" t="s">
        <v>26</v>
      </c>
    </row>
    <row r="2261" spans="1:8" hidden="1">
      <c r="A2261" s="6"/>
      <c r="H2261" s="5" t="s">
        <v>26</v>
      </c>
    </row>
    <row r="2262" spans="1:8" hidden="1">
      <c r="A2262" s="5" t="s">
        <v>18</v>
      </c>
      <c r="H2262" s="5" t="s">
        <v>26</v>
      </c>
    </row>
    <row r="2263" spans="1:8" hidden="1">
      <c r="A2263" s="7">
        <v>25000</v>
      </c>
      <c r="H2263" s="5" t="s">
        <v>26</v>
      </c>
    </row>
    <row r="2264" spans="1:8" hidden="1">
      <c r="A2264" s="6"/>
      <c r="H2264" s="5" t="s">
        <v>26</v>
      </c>
    </row>
    <row r="2265" spans="1:8" hidden="1">
      <c r="A2265" s="5" t="s">
        <v>19</v>
      </c>
      <c r="H2265" s="5" t="s">
        <v>26</v>
      </c>
    </row>
    <row r="2266" spans="1:8" hidden="1">
      <c r="A2266" s="5" t="s">
        <v>20</v>
      </c>
      <c r="H2266" s="5" t="s">
        <v>26</v>
      </c>
    </row>
    <row r="2267" spans="1:8" hidden="1">
      <c r="A2267" s="5" t="s">
        <v>21</v>
      </c>
      <c r="H2267" s="5" t="s">
        <v>26</v>
      </c>
    </row>
    <row r="2268" spans="1:8" hidden="1">
      <c r="A2268" s="5" t="s">
        <v>22</v>
      </c>
      <c r="H2268" s="5" t="s">
        <v>26</v>
      </c>
    </row>
    <row r="2269" spans="1:8" hidden="1">
      <c r="A2269" s="5" t="s">
        <v>23</v>
      </c>
      <c r="H2269" s="5" t="s">
        <v>26</v>
      </c>
    </row>
    <row r="2270" spans="1:8" hidden="1">
      <c r="A2270" s="5" t="s">
        <v>24</v>
      </c>
      <c r="H2270" s="5" t="s">
        <v>26</v>
      </c>
    </row>
    <row r="2271" spans="1:8" hidden="1">
      <c r="A2271" s="5" t="s">
        <v>25</v>
      </c>
      <c r="H2271" s="5" t="s">
        <v>26</v>
      </c>
    </row>
    <row r="2272" spans="1:8" hidden="1">
      <c r="A2272" s="5" t="s">
        <v>26</v>
      </c>
      <c r="H2272" s="5" t="s">
        <v>26</v>
      </c>
    </row>
    <row r="2273" spans="1:8" hidden="1">
      <c r="A2273" s="5" t="s">
        <v>27</v>
      </c>
      <c r="H2273" s="5" t="s">
        <v>26</v>
      </c>
    </row>
    <row r="2274" spans="1:8" hidden="1">
      <c r="A2274" s="5" t="s">
        <v>6</v>
      </c>
      <c r="H2274" s="5" t="s">
        <v>26</v>
      </c>
    </row>
    <row r="2275" spans="1:8" hidden="1">
      <c r="A2275" s="5" t="s">
        <v>28</v>
      </c>
      <c r="H2275" s="5" t="s">
        <v>38</v>
      </c>
    </row>
    <row r="2276" spans="1:8" hidden="1">
      <c r="A2276" s="5" t="s">
        <v>29</v>
      </c>
      <c r="H2276" s="5" t="s">
        <v>38</v>
      </c>
    </row>
    <row r="2277" spans="1:8" hidden="1">
      <c r="A2277" s="6"/>
      <c r="H2277" s="5" t="s">
        <v>38</v>
      </c>
    </row>
    <row r="2278" spans="1:8" hidden="1">
      <c r="A2278" s="6"/>
      <c r="H2278" s="5" t="s">
        <v>38</v>
      </c>
    </row>
    <row r="2279" spans="1:8" hidden="1">
      <c r="A2279" s="5" t="s">
        <v>6</v>
      </c>
      <c r="H2279" s="5" t="s">
        <v>38</v>
      </c>
    </row>
    <row r="2280" spans="1:8" hidden="1">
      <c r="A2280" s="5" t="s">
        <v>30</v>
      </c>
      <c r="H2280" s="5" t="s">
        <v>38</v>
      </c>
    </row>
    <row r="2281" spans="1:8" hidden="1">
      <c r="A2281" s="6"/>
      <c r="H2281" s="5" t="s">
        <v>38</v>
      </c>
    </row>
    <row r="2282" spans="1:8" hidden="1">
      <c r="A2282" s="5" t="s">
        <v>31</v>
      </c>
      <c r="H2282" s="5" t="s">
        <v>38</v>
      </c>
    </row>
    <row r="2283" spans="1:8" hidden="1">
      <c r="A2283" s="5" t="s">
        <v>32</v>
      </c>
      <c r="H2283" s="5" t="s">
        <v>38</v>
      </c>
    </row>
    <row r="2284" spans="1:8" hidden="1">
      <c r="A2284" s="5" t="s">
        <v>33</v>
      </c>
      <c r="H2284" s="5" t="s">
        <v>38</v>
      </c>
    </row>
    <row r="2285" spans="1:8" hidden="1">
      <c r="A2285" s="5" t="s">
        <v>34</v>
      </c>
      <c r="H2285" s="5" t="s">
        <v>38</v>
      </c>
    </row>
    <row r="2286" spans="1:8" hidden="1">
      <c r="A2286" s="5" t="s">
        <v>35</v>
      </c>
      <c r="H2286" s="5" t="s">
        <v>38</v>
      </c>
    </row>
    <row r="2287" spans="1:8" hidden="1">
      <c r="A2287" s="5" t="s">
        <v>36</v>
      </c>
      <c r="H2287" s="5" t="s">
        <v>38</v>
      </c>
    </row>
    <row r="2288" spans="1:8" hidden="1">
      <c r="A2288" s="5" t="s">
        <v>37</v>
      </c>
      <c r="H2288" s="5" t="s">
        <v>38</v>
      </c>
    </row>
    <row r="2289" spans="1:8" hidden="1">
      <c r="A2289" s="5" t="s">
        <v>38</v>
      </c>
      <c r="H2289" s="5" t="s">
        <v>38</v>
      </c>
    </row>
    <row r="2290" spans="1:8" hidden="1">
      <c r="A2290" s="5" t="s">
        <v>39</v>
      </c>
      <c r="H2290" s="5" t="s">
        <v>38</v>
      </c>
    </row>
    <row r="2291" spans="1:8" hidden="1">
      <c r="A2291" s="6"/>
      <c r="H2291" s="5" t="s">
        <v>38</v>
      </c>
    </row>
    <row r="2292" spans="1:8" hidden="1">
      <c r="A2292" s="5" t="s">
        <v>235</v>
      </c>
      <c r="H2292" s="5" t="s">
        <v>38</v>
      </c>
    </row>
    <row r="2293" spans="1:8" hidden="1">
      <c r="A2293" s="5" t="s">
        <v>236</v>
      </c>
      <c r="H2293" s="5" t="s">
        <v>38</v>
      </c>
    </row>
    <row r="2294" spans="1:8" hidden="1">
      <c r="A2294" s="6"/>
      <c r="H2294" s="5" t="s">
        <v>38</v>
      </c>
    </row>
    <row r="2295" spans="1:8" hidden="1">
      <c r="A2295" s="6"/>
      <c r="H2295" s="5" t="s">
        <v>38</v>
      </c>
    </row>
    <row r="2296" spans="1:8" hidden="1">
      <c r="A2296" s="6"/>
      <c r="H2296" s="5" t="s">
        <v>38</v>
      </c>
    </row>
    <row r="2297" spans="1:8" hidden="1">
      <c r="A2297" s="6"/>
      <c r="H2297" s="5" t="s">
        <v>38</v>
      </c>
    </row>
    <row r="2298" spans="1:8" hidden="1">
      <c r="A2298" s="5" t="s">
        <v>6</v>
      </c>
      <c r="H2298" s="5" t="s">
        <v>38</v>
      </c>
    </row>
    <row r="2299" spans="1:8" hidden="1">
      <c r="A2299" s="5" t="s">
        <v>40</v>
      </c>
      <c r="H2299" s="5" t="s">
        <v>38</v>
      </c>
    </row>
    <row r="2300" spans="1:8" hidden="1">
      <c r="A2300" s="6"/>
      <c r="H2300" s="5" t="s">
        <v>38</v>
      </c>
    </row>
    <row r="2301" spans="1:8" hidden="1">
      <c r="A2301" s="5" t="s">
        <v>41</v>
      </c>
      <c r="H2301" s="5" t="s">
        <v>38</v>
      </c>
    </row>
    <row r="2302" spans="1:8" hidden="1">
      <c r="A2302" s="6"/>
      <c r="H2302" s="5" t="s">
        <v>38</v>
      </c>
    </row>
    <row r="2303" spans="1:8" hidden="1">
      <c r="A2303" s="5" t="s">
        <v>42</v>
      </c>
      <c r="H2303" s="5" t="s">
        <v>38</v>
      </c>
    </row>
    <row r="2304" spans="1:8" hidden="1">
      <c r="A2304" s="6"/>
      <c r="H2304" s="5" t="s">
        <v>38</v>
      </c>
    </row>
    <row r="2305" spans="1:8" hidden="1">
      <c r="A2305" s="5" t="s">
        <v>43</v>
      </c>
      <c r="H2305" s="5" t="s">
        <v>38</v>
      </c>
    </row>
    <row r="2306" spans="1:8" hidden="1">
      <c r="A2306" s="5" t="s">
        <v>44</v>
      </c>
      <c r="H2306" s="5" t="s">
        <v>38</v>
      </c>
    </row>
    <row r="2307" spans="1:8" hidden="1">
      <c r="A2307" s="5" t="s">
        <v>45</v>
      </c>
      <c r="H2307" s="5" t="s">
        <v>38</v>
      </c>
    </row>
    <row r="2308" spans="1:8" hidden="1">
      <c r="A2308" s="5" t="s">
        <v>46</v>
      </c>
      <c r="H2308" s="5" t="s">
        <v>38</v>
      </c>
    </row>
    <row r="2309" spans="1:8" hidden="1">
      <c r="A2309" s="5" t="s">
        <v>47</v>
      </c>
      <c r="H2309" s="5" t="s">
        <v>38</v>
      </c>
    </row>
    <row r="2310" spans="1:8" hidden="1">
      <c r="A2310" s="5" t="s">
        <v>37</v>
      </c>
      <c r="H2310" s="5" t="s">
        <v>38</v>
      </c>
    </row>
    <row r="2311" spans="1:8" hidden="1">
      <c r="A2311" s="6"/>
      <c r="H2311" s="5" t="s">
        <v>38</v>
      </c>
    </row>
    <row r="2312" spans="1:8" hidden="1">
      <c r="A2312" s="5" t="s">
        <v>235</v>
      </c>
      <c r="H2312" s="5" t="s">
        <v>38</v>
      </c>
    </row>
    <row r="2313" spans="1:8" hidden="1">
      <c r="A2313" s="5" t="s">
        <v>236</v>
      </c>
      <c r="H2313" s="5" t="s">
        <v>38</v>
      </c>
    </row>
    <row r="2314" spans="1:8" hidden="1">
      <c r="A2314" s="6"/>
      <c r="H2314" s="5" t="s">
        <v>38</v>
      </c>
    </row>
    <row r="2315" spans="1:8" hidden="1">
      <c r="A2315" s="6"/>
      <c r="H2315" s="5" t="s">
        <v>38</v>
      </c>
    </row>
    <row r="2316" spans="1:8" hidden="1">
      <c r="A2316" s="5" t="s">
        <v>3</v>
      </c>
      <c r="H2316" s="5" t="s">
        <v>38</v>
      </c>
    </row>
    <row r="2317" spans="1:8" hidden="1">
      <c r="A2317" s="5" t="s">
        <v>4</v>
      </c>
      <c r="H2317" s="5" t="s">
        <v>38</v>
      </c>
    </row>
    <row r="2318" spans="1:8" hidden="1">
      <c r="A2318" s="5" t="s">
        <v>5</v>
      </c>
      <c r="H2318" s="5" t="s">
        <v>38</v>
      </c>
    </row>
    <row r="2319" spans="1:8" hidden="1">
      <c r="A2319" s="5" t="s">
        <v>6</v>
      </c>
      <c r="H2319" s="5" t="s">
        <v>38</v>
      </c>
    </row>
    <row r="2320" spans="1:8" hidden="1">
      <c r="A2320" s="5" t="s">
        <v>7</v>
      </c>
      <c r="H2320" s="5" t="s">
        <v>38</v>
      </c>
    </row>
    <row r="2321" spans="1:8" hidden="1">
      <c r="A2321" s="5" t="s">
        <v>6</v>
      </c>
      <c r="H2321" s="5" t="s">
        <v>38</v>
      </c>
    </row>
    <row r="2322" spans="1:8" hidden="1">
      <c r="A2322" s="5" t="s">
        <v>239</v>
      </c>
      <c r="H2322" s="5" t="s">
        <v>38</v>
      </c>
    </row>
    <row r="2323" spans="1:8" hidden="1">
      <c r="A2323" s="5" t="s">
        <v>240</v>
      </c>
      <c r="H2323" s="5" t="s">
        <v>38</v>
      </c>
    </row>
    <row r="2324" spans="1:8" hidden="1">
      <c r="A2324" s="6"/>
      <c r="H2324" s="5" t="s">
        <v>38</v>
      </c>
    </row>
    <row r="2325" spans="1:8" hidden="1">
      <c r="A2325" s="5" t="s">
        <v>109</v>
      </c>
      <c r="H2325" s="5" t="s">
        <v>38</v>
      </c>
    </row>
    <row r="2326" spans="1:8" hidden="1">
      <c r="A2326" s="5" t="s">
        <v>103</v>
      </c>
      <c r="H2326" s="5" t="s">
        <v>38</v>
      </c>
    </row>
    <row r="2327" spans="1:8" hidden="1">
      <c r="A2327" s="5" t="s">
        <v>6</v>
      </c>
      <c r="H2327" s="5" t="s">
        <v>38</v>
      </c>
    </row>
    <row r="2328" spans="1:8" hidden="1">
      <c r="A2328" s="5" t="s">
        <v>110</v>
      </c>
      <c r="H2328" s="5" t="s">
        <v>38</v>
      </c>
    </row>
    <row r="2329" spans="1:8" hidden="1">
      <c r="A2329" s="5" t="s">
        <v>17</v>
      </c>
      <c r="H2329" s="5" t="s">
        <v>38</v>
      </c>
    </row>
    <row r="2330" spans="1:8" hidden="1">
      <c r="A2330" s="5" t="s">
        <v>111</v>
      </c>
      <c r="H2330" s="5" t="s">
        <v>38</v>
      </c>
    </row>
    <row r="2331" spans="1:8" hidden="1">
      <c r="A2331" s="6"/>
      <c r="H2331" s="5" t="s">
        <v>38</v>
      </c>
    </row>
    <row r="2332" spans="1:8" hidden="1">
      <c r="A2332" s="5" t="s">
        <v>19</v>
      </c>
      <c r="H2332" s="5" t="s">
        <v>38</v>
      </c>
    </row>
    <row r="2333" spans="1:8" hidden="1">
      <c r="A2333" s="5" t="s">
        <v>20</v>
      </c>
      <c r="H2333" s="5" t="s">
        <v>38</v>
      </c>
    </row>
    <row r="2334" spans="1:8" hidden="1">
      <c r="A2334" s="5" t="s">
        <v>21</v>
      </c>
      <c r="H2334" s="5" t="s">
        <v>38</v>
      </c>
    </row>
    <row r="2335" spans="1:8" hidden="1">
      <c r="A2335" s="5" t="s">
        <v>22</v>
      </c>
      <c r="H2335" s="5" t="s">
        <v>38</v>
      </c>
    </row>
    <row r="2336" spans="1:8" hidden="1">
      <c r="A2336" s="5" t="s">
        <v>23</v>
      </c>
      <c r="H2336" s="5" t="s">
        <v>38</v>
      </c>
    </row>
    <row r="2337" spans="1:8" hidden="1">
      <c r="A2337" s="5" t="s">
        <v>24</v>
      </c>
      <c r="H2337" s="5" t="s">
        <v>38</v>
      </c>
    </row>
    <row r="2338" spans="1:8" hidden="1">
      <c r="A2338" s="5" t="s">
        <v>25</v>
      </c>
      <c r="H2338" s="5" t="s">
        <v>38</v>
      </c>
    </row>
    <row r="2339" spans="1:8" hidden="1">
      <c r="A2339" s="5" t="s">
        <v>26</v>
      </c>
      <c r="H2339" s="5" t="s">
        <v>304</v>
      </c>
    </row>
    <row r="2340" spans="1:8" hidden="1">
      <c r="A2340" s="5" t="s">
        <v>27</v>
      </c>
      <c r="H2340" s="5" t="s">
        <v>37</v>
      </c>
    </row>
    <row r="2341" spans="1:8" hidden="1">
      <c r="A2341" s="5" t="s">
        <v>6</v>
      </c>
      <c r="H2341" s="5" t="s">
        <v>37</v>
      </c>
    </row>
    <row r="2342" spans="1:8" hidden="1">
      <c r="A2342" s="5" t="s">
        <v>28</v>
      </c>
      <c r="H2342" s="5" t="s">
        <v>37</v>
      </c>
    </row>
    <row r="2343" spans="1:8" hidden="1">
      <c r="A2343" s="5" t="s">
        <v>29</v>
      </c>
      <c r="H2343" s="5" t="s">
        <v>37</v>
      </c>
    </row>
    <row r="2344" spans="1:8" hidden="1">
      <c r="A2344" s="6"/>
      <c r="H2344" s="5" t="s">
        <v>37</v>
      </c>
    </row>
    <row r="2345" spans="1:8" hidden="1">
      <c r="A2345" s="6"/>
      <c r="H2345" s="5" t="s">
        <v>37</v>
      </c>
    </row>
    <row r="2346" spans="1:8" hidden="1">
      <c r="A2346" s="5" t="s">
        <v>6</v>
      </c>
      <c r="H2346" s="5" t="s">
        <v>37</v>
      </c>
    </row>
    <row r="2347" spans="1:8" hidden="1">
      <c r="A2347" s="5" t="s">
        <v>30</v>
      </c>
      <c r="H2347" s="5" t="s">
        <v>37</v>
      </c>
    </row>
    <row r="2348" spans="1:8" hidden="1">
      <c r="A2348" s="6"/>
      <c r="H2348" s="5" t="s">
        <v>37</v>
      </c>
    </row>
    <row r="2349" spans="1:8" hidden="1">
      <c r="A2349" s="5" t="s">
        <v>31</v>
      </c>
      <c r="H2349" s="5" t="s">
        <v>37</v>
      </c>
    </row>
    <row r="2350" spans="1:8" hidden="1">
      <c r="A2350" s="5" t="s">
        <v>32</v>
      </c>
      <c r="H2350" s="5" t="s">
        <v>37</v>
      </c>
    </row>
    <row r="2351" spans="1:8" hidden="1">
      <c r="A2351" s="5" t="s">
        <v>33</v>
      </c>
      <c r="H2351" s="5" t="s">
        <v>37</v>
      </c>
    </row>
    <row r="2352" spans="1:8" hidden="1">
      <c r="A2352" s="5" t="s">
        <v>34</v>
      </c>
      <c r="H2352" s="5" t="s">
        <v>37</v>
      </c>
    </row>
    <row r="2353" spans="1:8" hidden="1">
      <c r="A2353" s="5" t="s">
        <v>35</v>
      </c>
      <c r="H2353" s="5" t="s">
        <v>37</v>
      </c>
    </row>
    <row r="2354" spans="1:8" hidden="1">
      <c r="A2354" s="5" t="s">
        <v>36</v>
      </c>
      <c r="H2354" s="5" t="s">
        <v>37</v>
      </c>
    </row>
    <row r="2355" spans="1:8" hidden="1">
      <c r="A2355" s="5" t="s">
        <v>37</v>
      </c>
      <c r="H2355" s="5" t="s">
        <v>37</v>
      </c>
    </row>
    <row r="2356" spans="1:8" hidden="1">
      <c r="A2356" s="5" t="s">
        <v>38</v>
      </c>
      <c r="H2356" s="5" t="s">
        <v>37</v>
      </c>
    </row>
    <row r="2357" spans="1:8" hidden="1">
      <c r="A2357" s="5" t="s">
        <v>39</v>
      </c>
      <c r="H2357" s="5" t="s">
        <v>37</v>
      </c>
    </row>
    <row r="2358" spans="1:8" hidden="1">
      <c r="A2358" s="6"/>
      <c r="H2358" s="5" t="s">
        <v>37</v>
      </c>
    </row>
    <row r="2359" spans="1:8" hidden="1">
      <c r="A2359" s="5" t="s">
        <v>239</v>
      </c>
      <c r="H2359" s="5" t="s">
        <v>37</v>
      </c>
    </row>
    <row r="2360" spans="1:8" hidden="1">
      <c r="A2360" s="5" t="s">
        <v>240</v>
      </c>
      <c r="H2360" s="5" t="s">
        <v>37</v>
      </c>
    </row>
    <row r="2361" spans="1:8" hidden="1">
      <c r="A2361" s="6"/>
      <c r="H2361" s="5" t="s">
        <v>37</v>
      </c>
    </row>
    <row r="2362" spans="1:8" hidden="1">
      <c r="A2362" s="6"/>
      <c r="H2362" s="5" t="s">
        <v>37</v>
      </c>
    </row>
    <row r="2363" spans="1:8" hidden="1">
      <c r="A2363" s="5" t="s">
        <v>3</v>
      </c>
      <c r="H2363" s="5" t="s">
        <v>37</v>
      </c>
    </row>
    <row r="2364" spans="1:8" hidden="1">
      <c r="A2364" s="5" t="s">
        <v>4</v>
      </c>
      <c r="H2364" s="5" t="s">
        <v>37</v>
      </c>
    </row>
    <row r="2365" spans="1:8" hidden="1">
      <c r="A2365" s="5" t="s">
        <v>5</v>
      </c>
      <c r="H2365" s="5" t="s">
        <v>37</v>
      </c>
    </row>
    <row r="2366" spans="1:8" hidden="1">
      <c r="A2366" s="5" t="s">
        <v>6</v>
      </c>
      <c r="H2366" s="5" t="s">
        <v>37</v>
      </c>
    </row>
    <row r="2367" spans="1:8" hidden="1">
      <c r="A2367" s="5" t="s">
        <v>7</v>
      </c>
      <c r="H2367" s="5" t="s">
        <v>37</v>
      </c>
    </row>
    <row r="2368" spans="1:8" hidden="1">
      <c r="A2368" s="5" t="s">
        <v>6</v>
      </c>
      <c r="H2368" s="5" t="s">
        <v>37</v>
      </c>
    </row>
    <row r="2369" spans="1:8" hidden="1">
      <c r="A2369" s="5" t="s">
        <v>241</v>
      </c>
      <c r="H2369" s="5" t="s">
        <v>37</v>
      </c>
    </row>
    <row r="2370" spans="1:8" hidden="1">
      <c r="A2370" s="5" t="s">
        <v>242</v>
      </c>
      <c r="H2370" s="5" t="s">
        <v>37</v>
      </c>
    </row>
    <row r="2371" spans="1:8" hidden="1">
      <c r="A2371" s="6"/>
      <c r="H2371" s="5" t="s">
        <v>37</v>
      </c>
    </row>
    <row r="2372" spans="1:8" hidden="1">
      <c r="A2372" s="5" t="s">
        <v>243</v>
      </c>
      <c r="H2372" s="5" t="s">
        <v>37</v>
      </c>
    </row>
    <row r="2373" spans="1:8" hidden="1">
      <c r="A2373" s="5" t="s">
        <v>244</v>
      </c>
      <c r="H2373" s="5" t="s">
        <v>37</v>
      </c>
    </row>
    <row r="2374" spans="1:8" hidden="1">
      <c r="A2374" s="5" t="s">
        <v>245</v>
      </c>
      <c r="H2374" s="5" t="s">
        <v>37</v>
      </c>
    </row>
    <row r="2375" spans="1:8" hidden="1">
      <c r="A2375" s="5" t="s">
        <v>246</v>
      </c>
      <c r="H2375" s="5" t="s">
        <v>37</v>
      </c>
    </row>
    <row r="2376" spans="1:8" hidden="1">
      <c r="A2376" s="5" t="s">
        <v>244</v>
      </c>
      <c r="H2376" s="5" t="s">
        <v>37</v>
      </c>
    </row>
    <row r="2377" spans="1:8" hidden="1">
      <c r="A2377" s="5" t="s">
        <v>245</v>
      </c>
      <c r="H2377" s="5" t="s">
        <v>37</v>
      </c>
    </row>
    <row r="2378" spans="1:8" hidden="1">
      <c r="A2378" s="5" t="s">
        <v>247</v>
      </c>
      <c r="H2378" s="5" t="s">
        <v>37</v>
      </c>
    </row>
    <row r="2379" spans="1:8" hidden="1">
      <c r="A2379" s="5" t="s">
        <v>244</v>
      </c>
      <c r="H2379" s="5" t="s">
        <v>37</v>
      </c>
    </row>
    <row r="2380" spans="1:8" hidden="1">
      <c r="A2380" s="5" t="s">
        <v>245</v>
      </c>
      <c r="H2380" s="5" t="s">
        <v>37</v>
      </c>
    </row>
    <row r="2381" spans="1:8" hidden="1">
      <c r="A2381" s="5" t="s">
        <v>103</v>
      </c>
      <c r="H2381" s="5" t="s">
        <v>37</v>
      </c>
    </row>
    <row r="2382" spans="1:8" hidden="1">
      <c r="A2382" s="5" t="s">
        <v>145</v>
      </c>
      <c r="H2382" s="5" t="s">
        <v>37</v>
      </c>
    </row>
    <row r="2383" spans="1:8" hidden="1">
      <c r="A2383" s="5" t="s">
        <v>6</v>
      </c>
      <c r="H2383" s="5" t="s">
        <v>37</v>
      </c>
    </row>
    <row r="2384" spans="1:8" hidden="1">
      <c r="A2384" s="5" t="s">
        <v>248</v>
      </c>
      <c r="H2384" s="5" t="s">
        <v>37</v>
      </c>
    </row>
    <row r="2385" spans="1:8" hidden="1">
      <c r="A2385" s="5" t="s">
        <v>17</v>
      </c>
      <c r="H2385" s="5" t="s">
        <v>37</v>
      </c>
    </row>
    <row r="2386" spans="1:8" hidden="1">
      <c r="A2386" s="5" t="s">
        <v>148</v>
      </c>
      <c r="H2386" s="5" t="s">
        <v>37</v>
      </c>
    </row>
    <row r="2387" spans="1:8" hidden="1">
      <c r="A2387" s="6"/>
      <c r="H2387" s="5" t="s">
        <v>37</v>
      </c>
    </row>
    <row r="2388" spans="1:8" hidden="1">
      <c r="A2388" s="5" t="s">
        <v>18</v>
      </c>
      <c r="H2388" s="5" t="s">
        <v>37</v>
      </c>
    </row>
    <row r="2389" spans="1:8" hidden="1">
      <c r="A2389" s="7">
        <v>49899</v>
      </c>
      <c r="H2389" s="5" t="s">
        <v>37</v>
      </c>
    </row>
    <row r="2390" spans="1:8" hidden="1">
      <c r="A2390" s="6"/>
      <c r="H2390" s="5" t="s">
        <v>37</v>
      </c>
    </row>
    <row r="2391" spans="1:8" hidden="1">
      <c r="A2391" s="5" t="s">
        <v>19</v>
      </c>
      <c r="H2391" s="5" t="s">
        <v>37</v>
      </c>
    </row>
    <row r="2392" spans="1:8" hidden="1">
      <c r="A2392" s="5" t="s">
        <v>20</v>
      </c>
      <c r="H2392" s="5" t="s">
        <v>37</v>
      </c>
    </row>
    <row r="2393" spans="1:8" hidden="1">
      <c r="A2393" s="5" t="s">
        <v>21</v>
      </c>
      <c r="H2393" s="5" t="s">
        <v>37</v>
      </c>
    </row>
    <row r="2394" spans="1:8" hidden="1">
      <c r="A2394" s="5" t="s">
        <v>22</v>
      </c>
      <c r="H2394" s="5" t="s">
        <v>37</v>
      </c>
    </row>
    <row r="2395" spans="1:8" hidden="1">
      <c r="A2395" s="5" t="s">
        <v>23</v>
      </c>
      <c r="H2395" s="5" t="s">
        <v>37</v>
      </c>
    </row>
    <row r="2396" spans="1:8" hidden="1">
      <c r="A2396" s="5" t="s">
        <v>24</v>
      </c>
      <c r="H2396" s="5" t="s">
        <v>37</v>
      </c>
    </row>
    <row r="2397" spans="1:8" hidden="1">
      <c r="A2397" s="5" t="s">
        <v>25</v>
      </c>
      <c r="H2397" s="5" t="s">
        <v>37</v>
      </c>
    </row>
    <row r="2398" spans="1:8" hidden="1">
      <c r="A2398" s="5" t="s">
        <v>26</v>
      </c>
      <c r="H2398" s="5" t="s">
        <v>37</v>
      </c>
    </row>
    <row r="2399" spans="1:8" hidden="1">
      <c r="A2399" s="5" t="s">
        <v>27</v>
      </c>
      <c r="H2399" s="5" t="s">
        <v>37</v>
      </c>
    </row>
    <row r="2400" spans="1:8" hidden="1">
      <c r="A2400" s="5" t="s">
        <v>6</v>
      </c>
      <c r="H2400" s="5" t="s">
        <v>37</v>
      </c>
    </row>
    <row r="2401" spans="1:8" hidden="1">
      <c r="A2401" s="5" t="s">
        <v>28</v>
      </c>
      <c r="H2401" s="5" t="s">
        <v>37</v>
      </c>
    </row>
    <row r="2402" spans="1:8" hidden="1">
      <c r="A2402" s="5" t="s">
        <v>29</v>
      </c>
      <c r="H2402" s="5" t="s">
        <v>37</v>
      </c>
    </row>
    <row r="2403" spans="1:8" hidden="1">
      <c r="A2403" s="6"/>
      <c r="H2403" s="5" t="s">
        <v>37</v>
      </c>
    </row>
    <row r="2404" spans="1:8" hidden="1">
      <c r="A2404" s="6"/>
      <c r="H2404" s="5" t="s">
        <v>37</v>
      </c>
    </row>
    <row r="2405" spans="1:8" hidden="1">
      <c r="A2405" s="5" t="s">
        <v>6</v>
      </c>
      <c r="H2405" s="5" t="s">
        <v>37</v>
      </c>
    </row>
    <row r="2406" spans="1:8" hidden="1">
      <c r="A2406" s="5" t="s">
        <v>30</v>
      </c>
      <c r="H2406" s="5" t="s">
        <v>37</v>
      </c>
    </row>
    <row r="2407" spans="1:8" hidden="1">
      <c r="A2407" s="6"/>
      <c r="H2407" s="5" t="s">
        <v>37</v>
      </c>
    </row>
    <row r="2408" spans="1:8" hidden="1">
      <c r="A2408" s="5" t="s">
        <v>31</v>
      </c>
      <c r="H2408" s="5" t="s">
        <v>37</v>
      </c>
    </row>
    <row r="2409" spans="1:8" hidden="1">
      <c r="A2409" s="5" t="s">
        <v>32</v>
      </c>
      <c r="H2409" s="5" t="s">
        <v>37</v>
      </c>
    </row>
    <row r="2410" spans="1:8" hidden="1">
      <c r="A2410" s="5" t="s">
        <v>33</v>
      </c>
      <c r="H2410" s="5" t="s">
        <v>37</v>
      </c>
    </row>
    <row r="2411" spans="1:8" hidden="1">
      <c r="A2411" s="5" t="s">
        <v>34</v>
      </c>
      <c r="H2411" s="5" t="s">
        <v>37</v>
      </c>
    </row>
    <row r="2412" spans="1:8" hidden="1">
      <c r="A2412" s="5" t="s">
        <v>35</v>
      </c>
      <c r="H2412" s="5" t="s">
        <v>37</v>
      </c>
    </row>
    <row r="2413" spans="1:8" hidden="1">
      <c r="A2413" s="5" t="s">
        <v>36</v>
      </c>
      <c r="H2413" s="5" t="s">
        <v>37</v>
      </c>
    </row>
    <row r="2414" spans="1:8" hidden="1">
      <c r="A2414" s="5" t="s">
        <v>37</v>
      </c>
      <c r="H2414" s="5" t="s">
        <v>37</v>
      </c>
    </row>
    <row r="2415" spans="1:8" hidden="1">
      <c r="A2415" s="5" t="s">
        <v>38</v>
      </c>
      <c r="H2415" s="5" t="s">
        <v>37</v>
      </c>
    </row>
    <row r="2416" spans="1:8" hidden="1">
      <c r="A2416" s="5" t="s">
        <v>39</v>
      </c>
      <c r="H2416" s="5" t="s">
        <v>37</v>
      </c>
    </row>
    <row r="2417" spans="1:8" hidden="1">
      <c r="A2417" s="6"/>
      <c r="H2417" s="5" t="s">
        <v>37</v>
      </c>
    </row>
    <row r="2418" spans="1:8" hidden="1">
      <c r="A2418" s="5" t="s">
        <v>241</v>
      </c>
      <c r="H2418" s="5" t="s">
        <v>37</v>
      </c>
    </row>
    <row r="2419" spans="1:8" hidden="1">
      <c r="A2419" s="5" t="s">
        <v>242</v>
      </c>
      <c r="H2419" s="5" t="s">
        <v>37</v>
      </c>
    </row>
    <row r="2420" spans="1:8" hidden="1">
      <c r="A2420" s="6"/>
      <c r="H2420" s="5" t="s">
        <v>37</v>
      </c>
    </row>
    <row r="2421" spans="1:8" hidden="1">
      <c r="A2421" s="6"/>
      <c r="H2421" s="5" t="s">
        <v>37</v>
      </c>
    </row>
    <row r="2422" spans="1:8" hidden="1">
      <c r="A2422" s="5" t="s">
        <v>3</v>
      </c>
      <c r="H2422" s="5" t="s">
        <v>37</v>
      </c>
    </row>
    <row r="2423" spans="1:8" hidden="1">
      <c r="A2423" s="5" t="s">
        <v>4</v>
      </c>
      <c r="H2423" s="5" t="s">
        <v>37</v>
      </c>
    </row>
    <row r="2424" spans="1:8" hidden="1">
      <c r="A2424" s="5" t="s">
        <v>5</v>
      </c>
      <c r="H2424" s="5" t="s">
        <v>37</v>
      </c>
    </row>
    <row r="2425" spans="1:8" hidden="1">
      <c r="A2425" s="5" t="s">
        <v>6</v>
      </c>
      <c r="H2425" s="5" t="s">
        <v>37</v>
      </c>
    </row>
    <row r="2426" spans="1:8" hidden="1">
      <c r="A2426" s="5" t="s">
        <v>7</v>
      </c>
      <c r="H2426" s="5" t="s">
        <v>37</v>
      </c>
    </row>
    <row r="2427" spans="1:8" hidden="1">
      <c r="A2427" s="5" t="s">
        <v>6</v>
      </c>
      <c r="H2427" s="5" t="s">
        <v>37</v>
      </c>
    </row>
    <row r="2428" spans="1:8" hidden="1">
      <c r="A2428" s="5" t="s">
        <v>249</v>
      </c>
      <c r="H2428" s="5" t="s">
        <v>37</v>
      </c>
    </row>
    <row r="2429" spans="1:8" hidden="1">
      <c r="A2429" s="5" t="s">
        <v>250</v>
      </c>
      <c r="H2429" s="5" t="s">
        <v>37</v>
      </c>
    </row>
    <row r="2430" spans="1:8" hidden="1">
      <c r="A2430" s="6"/>
      <c r="H2430" s="5" t="s">
        <v>37</v>
      </c>
    </row>
    <row r="2431" spans="1:8" hidden="1">
      <c r="A2431" s="5" t="s">
        <v>57</v>
      </c>
      <c r="H2431" s="5" t="s">
        <v>37</v>
      </c>
    </row>
    <row r="2432" spans="1:8" hidden="1">
      <c r="A2432" s="5" t="s">
        <v>103</v>
      </c>
      <c r="H2432" s="5" t="s">
        <v>37</v>
      </c>
    </row>
    <row r="2433" spans="1:8" hidden="1">
      <c r="A2433" s="5" t="s">
        <v>6</v>
      </c>
      <c r="H2433" s="5" t="s">
        <v>37</v>
      </c>
    </row>
    <row r="2434" spans="1:8" hidden="1">
      <c r="A2434" s="5" t="s">
        <v>251</v>
      </c>
      <c r="H2434" s="5" t="s">
        <v>37</v>
      </c>
    </row>
    <row r="2435" spans="1:8" hidden="1">
      <c r="A2435" s="5" t="s">
        <v>17</v>
      </c>
      <c r="H2435" s="5" t="s">
        <v>37</v>
      </c>
    </row>
    <row r="2436" spans="1:8" hidden="1">
      <c r="A2436" s="5" t="s">
        <v>252</v>
      </c>
      <c r="H2436" s="5" t="s">
        <v>37</v>
      </c>
    </row>
    <row r="2437" spans="1:8" hidden="1">
      <c r="A2437" s="6"/>
      <c r="H2437" s="5" t="s">
        <v>37</v>
      </c>
    </row>
    <row r="2438" spans="1:8" hidden="1">
      <c r="A2438" s="5" t="s">
        <v>19</v>
      </c>
      <c r="H2438" s="5" t="s">
        <v>37</v>
      </c>
    </row>
    <row r="2439" spans="1:8" hidden="1">
      <c r="A2439" s="5" t="s">
        <v>20</v>
      </c>
      <c r="H2439" s="5" t="s">
        <v>37</v>
      </c>
    </row>
    <row r="2440" spans="1:8" hidden="1">
      <c r="A2440" s="5" t="s">
        <v>21</v>
      </c>
      <c r="H2440" s="5" t="s">
        <v>37</v>
      </c>
    </row>
    <row r="2441" spans="1:8" hidden="1">
      <c r="A2441" s="5" t="s">
        <v>22</v>
      </c>
      <c r="H2441" s="5" t="s">
        <v>37</v>
      </c>
    </row>
    <row r="2442" spans="1:8" hidden="1">
      <c r="A2442" s="5" t="s">
        <v>23</v>
      </c>
      <c r="H2442" s="5" t="s">
        <v>37</v>
      </c>
    </row>
    <row r="2443" spans="1:8" hidden="1">
      <c r="A2443" s="5" t="s">
        <v>24</v>
      </c>
      <c r="H2443" s="5" t="s">
        <v>37</v>
      </c>
    </row>
    <row r="2444" spans="1:8" hidden="1">
      <c r="A2444" s="5" t="s">
        <v>25</v>
      </c>
      <c r="H2444" s="5" t="s">
        <v>37</v>
      </c>
    </row>
    <row r="2445" spans="1:8" hidden="1">
      <c r="A2445" s="5" t="s">
        <v>26</v>
      </c>
      <c r="H2445" s="5" t="s">
        <v>37</v>
      </c>
    </row>
    <row r="2446" spans="1:8" hidden="1">
      <c r="A2446" s="5" t="s">
        <v>27</v>
      </c>
      <c r="H2446" s="5" t="s">
        <v>37</v>
      </c>
    </row>
    <row r="2447" spans="1:8" hidden="1">
      <c r="A2447" s="5" t="s">
        <v>6</v>
      </c>
      <c r="H2447" s="5" t="s">
        <v>37</v>
      </c>
    </row>
    <row r="2448" spans="1:8" hidden="1">
      <c r="A2448" s="5" t="s">
        <v>28</v>
      </c>
      <c r="H2448" s="5" t="s">
        <v>37</v>
      </c>
    </row>
    <row r="2449" spans="1:8" hidden="1">
      <c r="A2449" s="5" t="s">
        <v>29</v>
      </c>
      <c r="H2449" s="5" t="s">
        <v>37</v>
      </c>
    </row>
    <row r="2450" spans="1:8" hidden="1">
      <c r="A2450" s="6"/>
      <c r="H2450" s="5" t="s">
        <v>37</v>
      </c>
    </row>
    <row r="2451" spans="1:8" hidden="1">
      <c r="A2451" s="6"/>
      <c r="H2451" s="5" t="s">
        <v>37</v>
      </c>
    </row>
    <row r="2452" spans="1:8" hidden="1">
      <c r="A2452" s="5" t="s">
        <v>6</v>
      </c>
      <c r="H2452" s="5" t="s">
        <v>302</v>
      </c>
    </row>
    <row r="2453" spans="1:8" hidden="1">
      <c r="A2453" s="5" t="s">
        <v>30</v>
      </c>
      <c r="H2453" s="5" t="s">
        <v>225</v>
      </c>
    </row>
    <row r="2454" spans="1:8" hidden="1">
      <c r="A2454" s="6"/>
      <c r="H2454" s="5" t="s">
        <v>375</v>
      </c>
    </row>
    <row r="2455" spans="1:8" hidden="1">
      <c r="A2455" s="5" t="s">
        <v>31</v>
      </c>
      <c r="H2455" s="5" t="s">
        <v>171</v>
      </c>
    </row>
    <row r="2456" spans="1:8" hidden="1">
      <c r="A2456" s="5" t="s">
        <v>32</v>
      </c>
      <c r="H2456" s="5" t="s">
        <v>144</v>
      </c>
    </row>
    <row r="2457" spans="1:8" hidden="1">
      <c r="A2457" s="5" t="s">
        <v>33</v>
      </c>
      <c r="H2457" s="5" t="s">
        <v>143</v>
      </c>
    </row>
    <row r="2458" spans="1:8" hidden="1">
      <c r="A2458" s="5" t="s">
        <v>34</v>
      </c>
      <c r="H2458" s="5" t="s">
        <v>273</v>
      </c>
    </row>
    <row r="2459" spans="1:8" hidden="1">
      <c r="A2459" s="5" t="s">
        <v>35</v>
      </c>
      <c r="H2459" s="5" t="s">
        <v>68</v>
      </c>
    </row>
    <row r="2460" spans="1:8" hidden="1">
      <c r="A2460" s="5" t="s">
        <v>36</v>
      </c>
      <c r="H2460" s="5" t="s">
        <v>69</v>
      </c>
    </row>
    <row r="2461" spans="1:8" hidden="1">
      <c r="A2461" s="5" t="s">
        <v>37</v>
      </c>
      <c r="H2461" s="5" t="s">
        <v>141</v>
      </c>
    </row>
    <row r="2462" spans="1:8" hidden="1">
      <c r="A2462" s="5" t="s">
        <v>38</v>
      </c>
      <c r="H2462" s="5" t="s">
        <v>67</v>
      </c>
    </row>
    <row r="2463" spans="1:8" hidden="1">
      <c r="A2463" s="5" t="s">
        <v>39</v>
      </c>
      <c r="H2463" s="5" t="s">
        <v>270</v>
      </c>
    </row>
    <row r="2464" spans="1:8" hidden="1">
      <c r="A2464" s="6"/>
      <c r="H2464" s="5" t="s">
        <v>243</v>
      </c>
    </row>
    <row r="2465" spans="1:8" hidden="1">
      <c r="A2465" s="5" t="s">
        <v>249</v>
      </c>
      <c r="H2465" s="5" t="s">
        <v>246</v>
      </c>
    </row>
    <row r="2466" spans="1:8" hidden="1">
      <c r="A2466" s="5" t="s">
        <v>250</v>
      </c>
      <c r="H2466" s="5" t="s">
        <v>247</v>
      </c>
    </row>
    <row r="2467" spans="1:8" hidden="1">
      <c r="A2467" s="6"/>
      <c r="H2467" s="5" t="s">
        <v>58</v>
      </c>
    </row>
    <row r="2468" spans="1:8" hidden="1">
      <c r="A2468" s="6"/>
      <c r="H2468" s="5" t="s">
        <v>58</v>
      </c>
    </row>
    <row r="2469" spans="1:8" hidden="1">
      <c r="A2469" s="5" t="s">
        <v>3</v>
      </c>
      <c r="H2469" s="5" t="s">
        <v>203</v>
      </c>
    </row>
    <row r="2470" spans="1:8" hidden="1">
      <c r="A2470" s="5" t="s">
        <v>4</v>
      </c>
      <c r="H2470" s="5" t="s">
        <v>374</v>
      </c>
    </row>
    <row r="2471" spans="1:8" hidden="1">
      <c r="A2471" s="5" t="s">
        <v>5</v>
      </c>
      <c r="H2471" s="5" t="s">
        <v>372</v>
      </c>
    </row>
    <row r="2472" spans="1:8" hidden="1">
      <c r="A2472" s="5" t="s">
        <v>6</v>
      </c>
      <c r="H2472" s="5" t="s">
        <v>120</v>
      </c>
    </row>
    <row r="2473" spans="1:8" hidden="1">
      <c r="A2473" s="5" t="s">
        <v>7</v>
      </c>
      <c r="H2473" s="5" t="s">
        <v>335</v>
      </c>
    </row>
    <row r="2474" spans="1:8" hidden="1">
      <c r="A2474" s="5" t="s">
        <v>6</v>
      </c>
      <c r="H2474" s="5" t="s">
        <v>379</v>
      </c>
    </row>
    <row r="2475" spans="1:8" hidden="1">
      <c r="A2475" s="5" t="s">
        <v>253</v>
      </c>
      <c r="H2475" s="5" t="s">
        <v>191</v>
      </c>
    </row>
    <row r="2476" spans="1:8" hidden="1">
      <c r="A2476" s="5" t="s">
        <v>254</v>
      </c>
      <c r="H2476" s="5" t="s">
        <v>314</v>
      </c>
    </row>
    <row r="2477" spans="1:8" hidden="1">
      <c r="A2477" s="6"/>
      <c r="H2477" s="5" t="s">
        <v>259</v>
      </c>
    </row>
    <row r="2478" spans="1:8" hidden="1">
      <c r="A2478" s="5" t="s">
        <v>87</v>
      </c>
      <c r="H2478" s="5" t="s">
        <v>356</v>
      </c>
    </row>
    <row r="2479" spans="1:8" hidden="1">
      <c r="A2479" s="5" t="s">
        <v>88</v>
      </c>
      <c r="H2479" s="5" t="s">
        <v>97</v>
      </c>
    </row>
    <row r="2480" spans="1:8" hidden="1">
      <c r="A2480" s="5" t="s">
        <v>89</v>
      </c>
      <c r="H2480" s="5" t="s">
        <v>188</v>
      </c>
    </row>
    <row r="2481" spans="1:8" hidden="1">
      <c r="A2481" s="5" t="s">
        <v>119</v>
      </c>
      <c r="H2481" s="5" t="s">
        <v>398</v>
      </c>
    </row>
    <row r="2482" spans="1:8" hidden="1">
      <c r="A2482" s="5" t="s">
        <v>6</v>
      </c>
      <c r="H2482" s="5" t="s">
        <v>376</v>
      </c>
    </row>
    <row r="2483" spans="1:8" hidden="1">
      <c r="A2483" s="5" t="s">
        <v>91</v>
      </c>
      <c r="H2483" s="5" t="s">
        <v>125</v>
      </c>
    </row>
    <row r="2484" spans="1:8" hidden="1">
      <c r="A2484" s="5" t="s">
        <v>63</v>
      </c>
      <c r="H2484" s="5" t="s">
        <v>165</v>
      </c>
    </row>
    <row r="2485" spans="1:8" hidden="1">
      <c r="A2485" s="5" t="s">
        <v>92</v>
      </c>
      <c r="H2485" s="5" t="s">
        <v>165</v>
      </c>
    </row>
    <row r="2486" spans="1:8" hidden="1">
      <c r="A2486" s="6"/>
      <c r="H2486" s="5" t="s">
        <v>152</v>
      </c>
    </row>
    <row r="2487" spans="1:8" hidden="1">
      <c r="A2487" s="5" t="s">
        <v>18</v>
      </c>
      <c r="H2487" s="5" t="s">
        <v>152</v>
      </c>
    </row>
    <row r="2488" spans="1:8" hidden="1">
      <c r="A2488" s="7">
        <v>45000</v>
      </c>
      <c r="H2488" s="5" t="s">
        <v>152</v>
      </c>
    </row>
    <row r="2489" spans="1:8" hidden="1">
      <c r="A2489" s="6"/>
      <c r="H2489" s="5" t="s">
        <v>207</v>
      </c>
    </row>
    <row r="2490" spans="1:8" hidden="1">
      <c r="A2490" s="5" t="s">
        <v>19</v>
      </c>
      <c r="H2490" s="5" t="s">
        <v>207</v>
      </c>
    </row>
    <row r="2491" spans="1:8" hidden="1">
      <c r="A2491" s="5" t="s">
        <v>20</v>
      </c>
      <c r="H2491" s="5" t="s">
        <v>174</v>
      </c>
    </row>
    <row r="2492" spans="1:8" hidden="1">
      <c r="A2492" s="5" t="s">
        <v>21</v>
      </c>
      <c r="H2492" s="5" t="s">
        <v>145</v>
      </c>
    </row>
    <row r="2493" spans="1:8" hidden="1">
      <c r="A2493" s="5" t="s">
        <v>22</v>
      </c>
      <c r="H2493" s="5" t="s">
        <v>145</v>
      </c>
    </row>
    <row r="2494" spans="1:8" hidden="1">
      <c r="A2494" s="5" t="s">
        <v>23</v>
      </c>
      <c r="H2494" s="5" t="s">
        <v>77</v>
      </c>
    </row>
    <row r="2495" spans="1:8" hidden="1">
      <c r="A2495" s="5" t="s">
        <v>24</v>
      </c>
      <c r="H2495" s="5" t="s">
        <v>77</v>
      </c>
    </row>
    <row r="2496" spans="1:8" hidden="1">
      <c r="A2496" s="5" t="s">
        <v>25</v>
      </c>
      <c r="H2496" s="5" t="s">
        <v>103</v>
      </c>
    </row>
    <row r="2497" spans="1:8" hidden="1">
      <c r="A2497" s="5" t="s">
        <v>26</v>
      </c>
      <c r="H2497" s="5" t="s">
        <v>103</v>
      </c>
    </row>
    <row r="2498" spans="1:8" hidden="1">
      <c r="A2498" s="5" t="s">
        <v>27</v>
      </c>
      <c r="H2498" s="5" t="s">
        <v>103</v>
      </c>
    </row>
    <row r="2499" spans="1:8" hidden="1">
      <c r="A2499" s="5" t="s">
        <v>6</v>
      </c>
      <c r="H2499" s="5" t="s">
        <v>103</v>
      </c>
    </row>
    <row r="2500" spans="1:8" hidden="1">
      <c r="A2500" s="5" t="s">
        <v>28</v>
      </c>
      <c r="H2500" s="5" t="s">
        <v>103</v>
      </c>
    </row>
    <row r="2501" spans="1:8" hidden="1">
      <c r="A2501" s="5" t="s">
        <v>29</v>
      </c>
      <c r="H2501" s="5" t="s">
        <v>103</v>
      </c>
    </row>
    <row r="2502" spans="1:8" hidden="1">
      <c r="A2502" s="6"/>
      <c r="H2502" s="5" t="s">
        <v>103</v>
      </c>
    </row>
    <row r="2503" spans="1:8" hidden="1">
      <c r="A2503" s="6"/>
      <c r="H2503" s="5" t="s">
        <v>103</v>
      </c>
    </row>
    <row r="2504" spans="1:8" hidden="1">
      <c r="A2504" s="5" t="s">
        <v>6</v>
      </c>
      <c r="H2504" s="5" t="s">
        <v>103</v>
      </c>
    </row>
    <row r="2505" spans="1:8" hidden="1">
      <c r="A2505" s="5" t="s">
        <v>30</v>
      </c>
      <c r="H2505" s="5" t="s">
        <v>103</v>
      </c>
    </row>
    <row r="2506" spans="1:8" hidden="1">
      <c r="A2506" s="6"/>
      <c r="H2506" s="5" t="s">
        <v>103</v>
      </c>
    </row>
    <row r="2507" spans="1:8" hidden="1">
      <c r="A2507" s="5" t="s">
        <v>31</v>
      </c>
      <c r="H2507" s="5" t="s">
        <v>103</v>
      </c>
    </row>
    <row r="2508" spans="1:8" hidden="1">
      <c r="A2508" s="5" t="s">
        <v>32</v>
      </c>
      <c r="H2508" s="5" t="s">
        <v>103</v>
      </c>
    </row>
    <row r="2509" spans="1:8" hidden="1">
      <c r="A2509" s="5" t="s">
        <v>33</v>
      </c>
      <c r="H2509" s="5" t="s">
        <v>103</v>
      </c>
    </row>
    <row r="2510" spans="1:8" hidden="1">
      <c r="A2510" s="5" t="s">
        <v>34</v>
      </c>
      <c r="H2510" s="5" t="s">
        <v>103</v>
      </c>
    </row>
    <row r="2511" spans="1:8" hidden="1">
      <c r="A2511" s="5" t="s">
        <v>35</v>
      </c>
      <c r="H2511" s="5" t="s">
        <v>103</v>
      </c>
    </row>
    <row r="2512" spans="1:8" hidden="1">
      <c r="A2512" s="5" t="s">
        <v>36</v>
      </c>
      <c r="H2512" s="5" t="s">
        <v>103</v>
      </c>
    </row>
    <row r="2513" spans="1:8" hidden="1">
      <c r="A2513" s="5" t="s">
        <v>37</v>
      </c>
      <c r="H2513" s="5" t="s">
        <v>103</v>
      </c>
    </row>
    <row r="2514" spans="1:8" hidden="1">
      <c r="A2514" s="5" t="s">
        <v>38</v>
      </c>
      <c r="H2514" s="5" t="s">
        <v>103</v>
      </c>
    </row>
    <row r="2515" spans="1:8" hidden="1">
      <c r="A2515" s="5" t="s">
        <v>39</v>
      </c>
      <c r="H2515" s="5" t="s">
        <v>103</v>
      </c>
    </row>
    <row r="2516" spans="1:8" hidden="1">
      <c r="A2516" s="6"/>
      <c r="H2516" s="5" t="s">
        <v>103</v>
      </c>
    </row>
    <row r="2517" spans="1:8" hidden="1">
      <c r="A2517" s="5" t="s">
        <v>253</v>
      </c>
      <c r="H2517" s="5" t="s">
        <v>103</v>
      </c>
    </row>
    <row r="2518" spans="1:8" hidden="1">
      <c r="A2518" s="5" t="s">
        <v>254</v>
      </c>
      <c r="H2518" s="5" t="s">
        <v>103</v>
      </c>
    </row>
    <row r="2519" spans="1:8" hidden="1">
      <c r="A2519" s="6"/>
      <c r="H2519" s="5" t="s">
        <v>103</v>
      </c>
    </row>
    <row r="2520" spans="1:8" hidden="1">
      <c r="A2520" s="6"/>
      <c r="H2520" s="5" t="s">
        <v>103</v>
      </c>
    </row>
    <row r="2521" spans="1:8" hidden="1">
      <c r="A2521" s="6"/>
      <c r="H2521" s="5" t="s">
        <v>103</v>
      </c>
    </row>
    <row r="2522" spans="1:8" hidden="1">
      <c r="A2522" s="6"/>
      <c r="H2522" s="5" t="s">
        <v>119</v>
      </c>
    </row>
    <row r="2523" spans="1:8" hidden="1">
      <c r="A2523" s="5" t="s">
        <v>6</v>
      </c>
      <c r="H2523" s="5" t="s">
        <v>119</v>
      </c>
    </row>
    <row r="2524" spans="1:8" hidden="1">
      <c r="A2524" s="5" t="s">
        <v>40</v>
      </c>
      <c r="H2524" s="5" t="s">
        <v>119</v>
      </c>
    </row>
    <row r="2525" spans="1:8" hidden="1">
      <c r="A2525" s="6"/>
      <c r="H2525" s="5" t="s">
        <v>119</v>
      </c>
    </row>
    <row r="2526" spans="1:8" hidden="1">
      <c r="A2526" s="5" t="s">
        <v>41</v>
      </c>
      <c r="H2526" s="5" t="s">
        <v>119</v>
      </c>
    </row>
    <row r="2527" spans="1:8" hidden="1">
      <c r="A2527" s="6"/>
      <c r="H2527" s="5" t="s">
        <v>119</v>
      </c>
    </row>
    <row r="2528" spans="1:8" hidden="1">
      <c r="A2528" s="5" t="s">
        <v>42</v>
      </c>
      <c r="H2528" s="5" t="s">
        <v>119</v>
      </c>
    </row>
    <row r="2529" spans="1:8" hidden="1">
      <c r="A2529" s="6"/>
      <c r="H2529" s="5" t="s">
        <v>119</v>
      </c>
    </row>
    <row r="2530" spans="1:8" hidden="1">
      <c r="A2530" s="5" t="s">
        <v>43</v>
      </c>
      <c r="H2530" s="5" t="s">
        <v>119</v>
      </c>
    </row>
    <row r="2531" spans="1:8" hidden="1">
      <c r="A2531" s="5" t="s">
        <v>44</v>
      </c>
      <c r="H2531" s="5" t="s">
        <v>90</v>
      </c>
    </row>
    <row r="2532" spans="1:8" hidden="1">
      <c r="A2532" s="5" t="s">
        <v>45</v>
      </c>
      <c r="H2532" s="5" t="s">
        <v>61</v>
      </c>
    </row>
    <row r="2533" spans="1:8" hidden="1">
      <c r="A2533" s="5" t="s">
        <v>46</v>
      </c>
      <c r="H2533" s="5" t="s">
        <v>61</v>
      </c>
    </row>
    <row r="2534" spans="1:8" hidden="1">
      <c r="A2534" s="5" t="s">
        <v>47</v>
      </c>
      <c r="H2534" s="5" t="s">
        <v>61</v>
      </c>
    </row>
    <row r="2535" spans="1:8" hidden="1">
      <c r="A2535" s="5" t="s">
        <v>37</v>
      </c>
      <c r="H2535" s="5" t="s">
        <v>15</v>
      </c>
    </row>
    <row r="2536" spans="1:8" hidden="1">
      <c r="A2536" s="6"/>
      <c r="H2536" s="5" t="s">
        <v>15</v>
      </c>
    </row>
    <row r="2537" spans="1:8" hidden="1">
      <c r="A2537" s="5" t="s">
        <v>253</v>
      </c>
      <c r="H2537" s="5" t="s">
        <v>15</v>
      </c>
    </row>
    <row r="2538" spans="1:8" hidden="1">
      <c r="A2538" s="5" t="s">
        <v>254</v>
      </c>
      <c r="H2538" s="5" t="s">
        <v>15</v>
      </c>
    </row>
    <row r="2539" spans="1:8" hidden="1">
      <c r="A2539" s="6"/>
      <c r="H2539" s="5" t="s">
        <v>15</v>
      </c>
    </row>
    <row r="2540" spans="1:8" hidden="1">
      <c r="A2540" s="6"/>
      <c r="H2540" s="5" t="s">
        <v>15</v>
      </c>
    </row>
    <row r="2541" spans="1:8" hidden="1">
      <c r="A2541" s="5" t="s">
        <v>3</v>
      </c>
      <c r="H2541" s="5" t="s">
        <v>15</v>
      </c>
    </row>
    <row r="2542" spans="1:8" hidden="1">
      <c r="A2542" s="5" t="s">
        <v>4</v>
      </c>
      <c r="H2542" s="5" t="s">
        <v>15</v>
      </c>
    </row>
    <row r="2543" spans="1:8" hidden="1">
      <c r="A2543" s="5" t="s">
        <v>5</v>
      </c>
      <c r="H2543" s="5" t="s">
        <v>15</v>
      </c>
    </row>
    <row r="2544" spans="1:8" hidden="1">
      <c r="A2544" s="5" t="s">
        <v>6</v>
      </c>
      <c r="H2544" s="5" t="s">
        <v>15</v>
      </c>
    </row>
    <row r="2545" spans="1:8" hidden="1">
      <c r="A2545" s="5" t="s">
        <v>7</v>
      </c>
      <c r="H2545" s="5" t="s">
        <v>15</v>
      </c>
    </row>
    <row r="2546" spans="1:8" hidden="1">
      <c r="A2546" s="5" t="s">
        <v>6</v>
      </c>
      <c r="H2546" s="5" t="s">
        <v>15</v>
      </c>
    </row>
    <row r="2547" spans="1:8" hidden="1">
      <c r="A2547" s="5" t="s">
        <v>255</v>
      </c>
      <c r="H2547" s="5" t="s">
        <v>15</v>
      </c>
    </row>
    <row r="2548" spans="1:8" hidden="1">
      <c r="A2548" s="5" t="s">
        <v>256</v>
      </c>
      <c r="H2548" s="5" t="s">
        <v>15</v>
      </c>
    </row>
    <row r="2549" spans="1:8" hidden="1">
      <c r="A2549" s="6"/>
      <c r="H2549" s="5" t="s">
        <v>15</v>
      </c>
    </row>
    <row r="2550" spans="1:8" hidden="1">
      <c r="A2550" s="5" t="s">
        <v>87</v>
      </c>
      <c r="H2550" s="5" t="s">
        <v>15</v>
      </c>
    </row>
    <row r="2551" spans="1:8" hidden="1">
      <c r="A2551" s="5" t="s">
        <v>88</v>
      </c>
      <c r="H2551" s="5" t="s">
        <v>15</v>
      </c>
    </row>
    <row r="2552" spans="1:8" hidden="1">
      <c r="A2552" s="5" t="s">
        <v>89</v>
      </c>
      <c r="H2552" s="5" t="s">
        <v>15</v>
      </c>
    </row>
    <row r="2553" spans="1:8" hidden="1">
      <c r="A2553" s="5" t="s">
        <v>119</v>
      </c>
      <c r="H2553" s="5" t="s">
        <v>15</v>
      </c>
    </row>
    <row r="2554" spans="1:8" hidden="1">
      <c r="A2554" s="5" t="s">
        <v>6</v>
      </c>
      <c r="H2554" s="5" t="s">
        <v>15</v>
      </c>
    </row>
    <row r="2555" spans="1:8" hidden="1">
      <c r="A2555" s="5" t="s">
        <v>91</v>
      </c>
      <c r="H2555" s="5" t="s">
        <v>15</v>
      </c>
    </row>
    <row r="2556" spans="1:8" hidden="1">
      <c r="A2556" s="5" t="s">
        <v>63</v>
      </c>
      <c r="H2556" s="5" t="s">
        <v>15</v>
      </c>
    </row>
    <row r="2557" spans="1:8" hidden="1">
      <c r="A2557" s="5" t="s">
        <v>92</v>
      </c>
      <c r="H2557" s="5" t="s">
        <v>394</v>
      </c>
    </row>
    <row r="2558" spans="1:8" hidden="1">
      <c r="A2558" s="6"/>
      <c r="H2558" s="5" t="s">
        <v>82</v>
      </c>
    </row>
    <row r="2559" spans="1:8" hidden="1">
      <c r="A2559" s="5" t="s">
        <v>18</v>
      </c>
      <c r="H2559" s="5" t="s">
        <v>82</v>
      </c>
    </row>
    <row r="2560" spans="1:8" hidden="1">
      <c r="A2560" s="7">
        <v>45000</v>
      </c>
      <c r="H2560" s="5" t="s">
        <v>82</v>
      </c>
    </row>
    <row r="2561" spans="1:8" hidden="1">
      <c r="A2561" s="6"/>
      <c r="H2561" s="5" t="s">
        <v>82</v>
      </c>
    </row>
    <row r="2562" spans="1:8" hidden="1">
      <c r="A2562" s="5" t="s">
        <v>19</v>
      </c>
      <c r="H2562" s="5" t="s">
        <v>82</v>
      </c>
    </row>
    <row r="2563" spans="1:8" hidden="1">
      <c r="A2563" s="5" t="s">
        <v>20</v>
      </c>
      <c r="H2563" s="5" t="s">
        <v>390</v>
      </c>
    </row>
    <row r="2564" spans="1:8" hidden="1">
      <c r="A2564" s="5" t="s">
        <v>21</v>
      </c>
      <c r="H2564" s="5" t="s">
        <v>95</v>
      </c>
    </row>
    <row r="2565" spans="1:8" hidden="1">
      <c r="A2565" s="5" t="s">
        <v>22</v>
      </c>
      <c r="H2565" s="5" t="s">
        <v>12</v>
      </c>
    </row>
    <row r="2566" spans="1:8" hidden="1">
      <c r="A2566" s="5" t="s">
        <v>23</v>
      </c>
      <c r="H2566" s="5" t="s">
        <v>12</v>
      </c>
    </row>
    <row r="2567" spans="1:8" hidden="1">
      <c r="A2567" s="5" t="s">
        <v>24</v>
      </c>
      <c r="H2567" s="5" t="s">
        <v>12</v>
      </c>
    </row>
    <row r="2568" spans="1:8" hidden="1">
      <c r="A2568" s="5" t="s">
        <v>25</v>
      </c>
      <c r="H2568" s="5" t="s">
        <v>12</v>
      </c>
    </row>
    <row r="2569" spans="1:8" hidden="1">
      <c r="A2569" s="5" t="s">
        <v>26</v>
      </c>
      <c r="H2569" s="5" t="s">
        <v>12</v>
      </c>
    </row>
    <row r="2570" spans="1:8" hidden="1">
      <c r="A2570" s="5" t="s">
        <v>27</v>
      </c>
      <c r="H2570" s="5" t="s">
        <v>12</v>
      </c>
    </row>
    <row r="2571" spans="1:8" hidden="1">
      <c r="A2571" s="5" t="s">
        <v>6</v>
      </c>
      <c r="H2571" s="5" t="s">
        <v>12</v>
      </c>
    </row>
    <row r="2572" spans="1:8" hidden="1">
      <c r="A2572" s="5" t="s">
        <v>28</v>
      </c>
      <c r="H2572" s="5" t="s">
        <v>12</v>
      </c>
    </row>
    <row r="2573" spans="1:8" hidden="1">
      <c r="A2573" s="5" t="s">
        <v>29</v>
      </c>
      <c r="H2573" s="5" t="s">
        <v>12</v>
      </c>
    </row>
    <row r="2574" spans="1:8" hidden="1">
      <c r="A2574" s="6"/>
      <c r="H2574" s="5" t="s">
        <v>130</v>
      </c>
    </row>
    <row r="2575" spans="1:8" hidden="1">
      <c r="A2575" s="6"/>
      <c r="H2575" s="5" t="s">
        <v>106</v>
      </c>
    </row>
    <row r="2576" spans="1:8" hidden="1">
      <c r="A2576" s="5" t="s">
        <v>6</v>
      </c>
      <c r="H2576" s="5" t="s">
        <v>106</v>
      </c>
    </row>
    <row r="2577" spans="1:8" hidden="1">
      <c r="A2577" s="5" t="s">
        <v>30</v>
      </c>
      <c r="H2577" s="5" t="s">
        <v>106</v>
      </c>
    </row>
    <row r="2578" spans="1:8" hidden="1">
      <c r="A2578" s="6"/>
      <c r="H2578" s="5" t="s">
        <v>106</v>
      </c>
    </row>
    <row r="2579" spans="1:8" hidden="1">
      <c r="A2579" s="5" t="s">
        <v>31</v>
      </c>
      <c r="H2579" s="5" t="s">
        <v>106</v>
      </c>
    </row>
    <row r="2580" spans="1:8" hidden="1">
      <c r="A2580" s="5" t="s">
        <v>32</v>
      </c>
      <c r="H2580" s="5" t="s">
        <v>106</v>
      </c>
    </row>
    <row r="2581" spans="1:8" hidden="1">
      <c r="A2581" s="5" t="s">
        <v>33</v>
      </c>
      <c r="H2581" s="5" t="s">
        <v>231</v>
      </c>
    </row>
    <row r="2582" spans="1:8" hidden="1">
      <c r="A2582" s="5" t="s">
        <v>34</v>
      </c>
      <c r="H2582" s="5" t="s">
        <v>206</v>
      </c>
    </row>
    <row r="2583" spans="1:8" hidden="1">
      <c r="A2583" s="5" t="s">
        <v>35</v>
      </c>
      <c r="H2583" s="5" t="s">
        <v>179</v>
      </c>
    </row>
    <row r="2584" spans="1:8" hidden="1">
      <c r="A2584" s="5" t="s">
        <v>36</v>
      </c>
      <c r="H2584" s="5" t="s">
        <v>226</v>
      </c>
    </row>
    <row r="2585" spans="1:8" hidden="1">
      <c r="A2585" s="5" t="s">
        <v>37</v>
      </c>
      <c r="H2585" s="5" t="s">
        <v>138</v>
      </c>
    </row>
    <row r="2586" spans="1:8" hidden="1">
      <c r="A2586" s="5" t="s">
        <v>38</v>
      </c>
      <c r="H2586" s="5" t="s">
        <v>157</v>
      </c>
    </row>
    <row r="2587" spans="1:8" hidden="1">
      <c r="A2587" s="5" t="s">
        <v>39</v>
      </c>
      <c r="H2587" s="5" t="s">
        <v>161</v>
      </c>
    </row>
    <row r="2588" spans="1:8" hidden="1">
      <c r="A2588" s="6"/>
      <c r="H2588" s="5" t="s">
        <v>292</v>
      </c>
    </row>
    <row r="2589" spans="1:8" hidden="1">
      <c r="A2589" s="5" t="s">
        <v>255</v>
      </c>
      <c r="H2589" s="5" t="s">
        <v>290</v>
      </c>
    </row>
    <row r="2590" spans="1:8" hidden="1">
      <c r="A2590" s="5" t="s">
        <v>256</v>
      </c>
      <c r="H2590" s="5" t="s">
        <v>237</v>
      </c>
    </row>
    <row r="2591" spans="1:8" hidden="1">
      <c r="A2591" s="6"/>
      <c r="H2591" s="5" t="s">
        <v>237</v>
      </c>
    </row>
    <row r="2592" spans="1:8" hidden="1">
      <c r="A2592" s="6"/>
      <c r="H2592" s="5" t="s">
        <v>281</v>
      </c>
    </row>
    <row r="2593" spans="1:8" hidden="1">
      <c r="A2593" s="6"/>
      <c r="H2593" s="5" t="s">
        <v>281</v>
      </c>
    </row>
    <row r="2594" spans="1:8" hidden="1">
      <c r="A2594" s="6"/>
      <c r="H2594" s="5" t="s">
        <v>87</v>
      </c>
    </row>
    <row r="2595" spans="1:8" hidden="1">
      <c r="A2595" s="5" t="s">
        <v>6</v>
      </c>
      <c r="H2595" s="5" t="s">
        <v>87</v>
      </c>
    </row>
    <row r="2596" spans="1:8" hidden="1">
      <c r="A2596" s="5" t="s">
        <v>40</v>
      </c>
      <c r="H2596" s="5" t="s">
        <v>87</v>
      </c>
    </row>
    <row r="2597" spans="1:8" hidden="1">
      <c r="A2597" s="6"/>
      <c r="H2597" s="5" t="s">
        <v>87</v>
      </c>
    </row>
    <row r="2598" spans="1:8" hidden="1">
      <c r="A2598" s="5" t="s">
        <v>41</v>
      </c>
      <c r="H2598" s="5" t="s">
        <v>87</v>
      </c>
    </row>
    <row r="2599" spans="1:8" hidden="1">
      <c r="A2599" s="6"/>
      <c r="H2599" s="5" t="s">
        <v>87</v>
      </c>
    </row>
    <row r="2600" spans="1:8" hidden="1">
      <c r="A2600" s="5" t="s">
        <v>42</v>
      </c>
      <c r="H2600" s="5" t="s">
        <v>87</v>
      </c>
    </row>
    <row r="2601" spans="1:8" hidden="1">
      <c r="A2601" s="6"/>
      <c r="H2601" s="5" t="s">
        <v>57</v>
      </c>
    </row>
    <row r="2602" spans="1:8" hidden="1">
      <c r="A2602" s="5" t="s">
        <v>43</v>
      </c>
      <c r="H2602" s="5" t="s">
        <v>57</v>
      </c>
    </row>
    <row r="2603" spans="1:8" hidden="1">
      <c r="A2603" s="5" t="s">
        <v>44</v>
      </c>
      <c r="H2603" s="5" t="s">
        <v>363</v>
      </c>
    </row>
    <row r="2604" spans="1:8" hidden="1">
      <c r="A2604" s="5" t="s">
        <v>45</v>
      </c>
      <c r="H2604" s="5" t="s">
        <v>364</v>
      </c>
    </row>
    <row r="2605" spans="1:8" hidden="1">
      <c r="A2605" s="5" t="s">
        <v>46</v>
      </c>
      <c r="H2605" s="5" t="s">
        <v>109</v>
      </c>
    </row>
    <row r="2606" spans="1:8" hidden="1">
      <c r="A2606" s="5" t="s">
        <v>47</v>
      </c>
      <c r="H2606" s="5" t="s">
        <v>109</v>
      </c>
    </row>
    <row r="2607" spans="1:8" hidden="1">
      <c r="A2607" s="5" t="s">
        <v>37</v>
      </c>
      <c r="H2607" s="5" t="s">
        <v>109</v>
      </c>
    </row>
    <row r="2608" spans="1:8" hidden="1">
      <c r="A2608" s="6"/>
      <c r="H2608" s="5" t="s">
        <v>109</v>
      </c>
    </row>
    <row r="2609" spans="1:8" hidden="1">
      <c r="A2609" s="5" t="s">
        <v>255</v>
      </c>
      <c r="H2609" s="5" t="s">
        <v>109</v>
      </c>
    </row>
    <row r="2610" spans="1:8" hidden="1">
      <c r="A2610" s="5" t="s">
        <v>256</v>
      </c>
      <c r="H2610" s="5" t="s">
        <v>109</v>
      </c>
    </row>
    <row r="2611" spans="1:8" hidden="1">
      <c r="A2611" s="6"/>
      <c r="H2611" s="5" t="s">
        <v>109</v>
      </c>
    </row>
    <row r="2612" spans="1:8" hidden="1">
      <c r="A2612" s="6"/>
      <c r="H2612" s="5" t="s">
        <v>151</v>
      </c>
    </row>
    <row r="2613" spans="1:8" hidden="1">
      <c r="A2613" s="5" t="s">
        <v>3</v>
      </c>
      <c r="H2613" s="5" t="s">
        <v>151</v>
      </c>
    </row>
    <row r="2614" spans="1:8" hidden="1">
      <c r="A2614" s="5" t="s">
        <v>4</v>
      </c>
      <c r="H2614" s="5" t="s">
        <v>151</v>
      </c>
    </row>
    <row r="2615" spans="1:8" hidden="1">
      <c r="A2615" s="5" t="s">
        <v>5</v>
      </c>
      <c r="H2615" s="5" t="s">
        <v>124</v>
      </c>
    </row>
    <row r="2616" spans="1:8" hidden="1">
      <c r="A2616" s="5" t="s">
        <v>6</v>
      </c>
      <c r="H2616" s="5" t="s">
        <v>345</v>
      </c>
    </row>
    <row r="2617" spans="1:8" hidden="1">
      <c r="A2617" s="5" t="s">
        <v>7</v>
      </c>
      <c r="H2617" s="5" t="s">
        <v>50</v>
      </c>
    </row>
    <row r="2618" spans="1:8" hidden="1">
      <c r="A2618" s="5" t="s">
        <v>6</v>
      </c>
      <c r="H2618" s="5" t="s">
        <v>50</v>
      </c>
    </row>
    <row r="2619" spans="1:8" hidden="1">
      <c r="A2619" s="5" t="s">
        <v>257</v>
      </c>
      <c r="H2619" s="5" t="s">
        <v>50</v>
      </c>
    </row>
    <row r="2620" spans="1:8" hidden="1">
      <c r="A2620" s="5" t="s">
        <v>258</v>
      </c>
      <c r="H2620" s="5" t="s">
        <v>50</v>
      </c>
    </row>
    <row r="2621" spans="1:8" hidden="1">
      <c r="A2621" s="6"/>
      <c r="H2621" s="5" t="s">
        <v>221</v>
      </c>
    </row>
    <row r="2622" spans="1:8" hidden="1">
      <c r="A2622" s="5" t="s">
        <v>109</v>
      </c>
      <c r="H2622" s="5" t="s">
        <v>18</v>
      </c>
    </row>
    <row r="2623" spans="1:8" hidden="1">
      <c r="A2623" s="5" t="s">
        <v>103</v>
      </c>
      <c r="H2623" s="5" t="s">
        <v>18</v>
      </c>
    </row>
    <row r="2624" spans="1:8" hidden="1">
      <c r="A2624" s="5" t="s">
        <v>6</v>
      </c>
      <c r="H2624" s="5" t="s">
        <v>18</v>
      </c>
    </row>
    <row r="2625" spans="1:8" hidden="1">
      <c r="A2625" s="5" t="s">
        <v>110</v>
      </c>
      <c r="H2625" s="5" t="s">
        <v>18</v>
      </c>
    </row>
    <row r="2626" spans="1:8" hidden="1">
      <c r="A2626" s="5" t="s">
        <v>259</v>
      </c>
      <c r="H2626" s="5" t="s">
        <v>18</v>
      </c>
    </row>
    <row r="2627" spans="1:8" hidden="1">
      <c r="A2627" s="6"/>
      <c r="H2627" s="5" t="s">
        <v>18</v>
      </c>
    </row>
    <row r="2628" spans="1:8" hidden="1">
      <c r="A2628" s="5" t="s">
        <v>19</v>
      </c>
      <c r="H2628" s="5" t="s">
        <v>18</v>
      </c>
    </row>
    <row r="2629" spans="1:8" hidden="1">
      <c r="A2629" s="5" t="s">
        <v>20</v>
      </c>
      <c r="H2629" s="5" t="s">
        <v>18</v>
      </c>
    </row>
    <row r="2630" spans="1:8" hidden="1">
      <c r="A2630" s="5" t="s">
        <v>21</v>
      </c>
      <c r="H2630" s="5" t="s">
        <v>18</v>
      </c>
    </row>
    <row r="2631" spans="1:8" hidden="1">
      <c r="A2631" s="5" t="s">
        <v>22</v>
      </c>
      <c r="H2631" s="5" t="s">
        <v>18</v>
      </c>
    </row>
    <row r="2632" spans="1:8" hidden="1">
      <c r="A2632" s="5" t="s">
        <v>23</v>
      </c>
      <c r="H2632" s="5" t="s">
        <v>18</v>
      </c>
    </row>
    <row r="2633" spans="1:8" hidden="1">
      <c r="A2633" s="5" t="s">
        <v>24</v>
      </c>
      <c r="H2633" s="5" t="s">
        <v>18</v>
      </c>
    </row>
    <row r="2634" spans="1:8" hidden="1">
      <c r="A2634" s="5" t="s">
        <v>25</v>
      </c>
      <c r="H2634" s="5" t="s">
        <v>18</v>
      </c>
    </row>
    <row r="2635" spans="1:8" hidden="1">
      <c r="A2635" s="5" t="s">
        <v>26</v>
      </c>
      <c r="H2635" s="5" t="s">
        <v>18</v>
      </c>
    </row>
    <row r="2636" spans="1:8" hidden="1">
      <c r="A2636" s="5" t="s">
        <v>27</v>
      </c>
      <c r="H2636" s="5" t="s">
        <v>18</v>
      </c>
    </row>
    <row r="2637" spans="1:8" hidden="1">
      <c r="A2637" s="5" t="s">
        <v>6</v>
      </c>
      <c r="H2637" s="5" t="s">
        <v>18</v>
      </c>
    </row>
    <row r="2638" spans="1:8" hidden="1">
      <c r="A2638" s="5" t="s">
        <v>28</v>
      </c>
      <c r="H2638" s="5" t="s">
        <v>18</v>
      </c>
    </row>
    <row r="2639" spans="1:8" hidden="1">
      <c r="A2639" s="5" t="s">
        <v>29</v>
      </c>
      <c r="H2639" s="5" t="s">
        <v>18</v>
      </c>
    </row>
    <row r="2640" spans="1:8" hidden="1">
      <c r="A2640" s="6"/>
      <c r="H2640" s="5" t="s">
        <v>18</v>
      </c>
    </row>
    <row r="2641" spans="1:8" hidden="1">
      <c r="A2641" s="6"/>
      <c r="H2641" s="5" t="s">
        <v>18</v>
      </c>
    </row>
    <row r="2642" spans="1:8" hidden="1">
      <c r="A2642" s="5" t="s">
        <v>6</v>
      </c>
      <c r="H2642" s="5" t="s">
        <v>18</v>
      </c>
    </row>
    <row r="2643" spans="1:8" hidden="1">
      <c r="A2643" s="5" t="s">
        <v>30</v>
      </c>
      <c r="H2643" s="5" t="s">
        <v>18</v>
      </c>
    </row>
    <row r="2644" spans="1:8" hidden="1">
      <c r="A2644" s="6"/>
      <c r="H2644" s="5" t="s">
        <v>18</v>
      </c>
    </row>
    <row r="2645" spans="1:8" hidden="1">
      <c r="A2645" s="5" t="s">
        <v>31</v>
      </c>
      <c r="H2645" s="5" t="s">
        <v>18</v>
      </c>
    </row>
    <row r="2646" spans="1:8" hidden="1">
      <c r="A2646" s="5" t="s">
        <v>32</v>
      </c>
      <c r="H2646" s="5" t="s">
        <v>18</v>
      </c>
    </row>
    <row r="2647" spans="1:8" hidden="1">
      <c r="A2647" s="5" t="s">
        <v>33</v>
      </c>
      <c r="H2647" s="5" t="s">
        <v>18</v>
      </c>
    </row>
    <row r="2648" spans="1:8" hidden="1">
      <c r="A2648" s="5" t="s">
        <v>34</v>
      </c>
      <c r="H2648" s="5" t="s">
        <v>18</v>
      </c>
    </row>
    <row r="2649" spans="1:8" hidden="1">
      <c r="A2649" s="5" t="s">
        <v>35</v>
      </c>
      <c r="H2649" s="5" t="s">
        <v>18</v>
      </c>
    </row>
    <row r="2650" spans="1:8" hidden="1">
      <c r="A2650" s="5" t="s">
        <v>36</v>
      </c>
      <c r="H2650" s="5" t="s">
        <v>18</v>
      </c>
    </row>
    <row r="2651" spans="1:8" hidden="1">
      <c r="A2651" s="5" t="s">
        <v>37</v>
      </c>
      <c r="H2651" s="5" t="s">
        <v>18</v>
      </c>
    </row>
    <row r="2652" spans="1:8" hidden="1">
      <c r="A2652" s="5" t="s">
        <v>38</v>
      </c>
      <c r="H2652" s="5" t="s">
        <v>18</v>
      </c>
    </row>
    <row r="2653" spans="1:8" hidden="1">
      <c r="A2653" s="5" t="s">
        <v>39</v>
      </c>
      <c r="H2653" s="5" t="s">
        <v>18</v>
      </c>
    </row>
    <row r="2654" spans="1:8" hidden="1">
      <c r="A2654" s="6"/>
      <c r="H2654" s="5" t="s">
        <v>18</v>
      </c>
    </row>
    <row r="2655" spans="1:8" hidden="1">
      <c r="A2655" s="5" t="s">
        <v>257</v>
      </c>
      <c r="H2655" s="5" t="s">
        <v>18</v>
      </c>
    </row>
    <row r="2656" spans="1:8" hidden="1">
      <c r="A2656" s="5" t="s">
        <v>258</v>
      </c>
      <c r="H2656" s="5" t="s">
        <v>8</v>
      </c>
    </row>
    <row r="2657" spans="1:8" hidden="1">
      <c r="A2657" s="6"/>
      <c r="H2657" s="5" t="s">
        <v>196</v>
      </c>
    </row>
    <row r="2658" spans="1:8" hidden="1">
      <c r="A2658" s="6"/>
      <c r="H2658" s="5" t="s">
        <v>219</v>
      </c>
    </row>
    <row r="2659" spans="1:8" hidden="1">
      <c r="A2659" s="5" t="s">
        <v>3</v>
      </c>
      <c r="H2659" s="5" t="s">
        <v>323</v>
      </c>
    </row>
    <row r="2660" spans="1:8" hidden="1">
      <c r="A2660" s="5" t="s">
        <v>4</v>
      </c>
      <c r="H2660" s="5" t="s">
        <v>323</v>
      </c>
    </row>
    <row r="2661" spans="1:8" hidden="1">
      <c r="A2661" s="5" t="s">
        <v>5</v>
      </c>
      <c r="H2661" s="5" t="s">
        <v>324</v>
      </c>
    </row>
    <row r="2662" spans="1:8" hidden="1">
      <c r="A2662" s="5" t="s">
        <v>6</v>
      </c>
      <c r="H2662" s="5" t="s">
        <v>324</v>
      </c>
    </row>
    <row r="2663" spans="1:8" hidden="1">
      <c r="A2663" s="5" t="s">
        <v>7</v>
      </c>
      <c r="H2663" s="5" t="s">
        <v>21</v>
      </c>
    </row>
    <row r="2664" spans="1:8" hidden="1">
      <c r="A2664" s="5" t="s">
        <v>6</v>
      </c>
      <c r="H2664" s="5" t="s">
        <v>21</v>
      </c>
    </row>
    <row r="2665" spans="1:8" hidden="1">
      <c r="A2665" s="5" t="s">
        <v>260</v>
      </c>
      <c r="H2665" s="5" t="s">
        <v>21</v>
      </c>
    </row>
    <row r="2666" spans="1:8" hidden="1">
      <c r="A2666" s="5" t="s">
        <v>261</v>
      </c>
      <c r="H2666" s="5" t="s">
        <v>21</v>
      </c>
    </row>
    <row r="2667" spans="1:8" hidden="1">
      <c r="A2667" s="6"/>
      <c r="H2667" s="5" t="s">
        <v>21</v>
      </c>
    </row>
    <row r="2668" spans="1:8" hidden="1">
      <c r="A2668" s="5" t="s">
        <v>12</v>
      </c>
      <c r="H2668" s="5" t="s">
        <v>21</v>
      </c>
    </row>
    <row r="2669" spans="1:8" hidden="1">
      <c r="A2669" s="5" t="s">
        <v>13</v>
      </c>
      <c r="H2669" s="5" t="s">
        <v>21</v>
      </c>
    </row>
    <row r="2670" spans="1:8" hidden="1">
      <c r="A2670" s="5" t="s">
        <v>200</v>
      </c>
      <c r="H2670" s="5" t="s">
        <v>21</v>
      </c>
    </row>
    <row r="2671" spans="1:8" hidden="1">
      <c r="A2671" s="5" t="s">
        <v>103</v>
      </c>
      <c r="H2671" s="5" t="s">
        <v>21</v>
      </c>
    </row>
    <row r="2672" spans="1:8" hidden="1">
      <c r="A2672" s="5" t="s">
        <v>6</v>
      </c>
      <c r="H2672" s="5" t="s">
        <v>21</v>
      </c>
    </row>
    <row r="2673" spans="1:8" hidden="1">
      <c r="A2673" s="5" t="s">
        <v>16</v>
      </c>
      <c r="H2673" s="5" t="s">
        <v>21</v>
      </c>
    </row>
    <row r="2674" spans="1:8" hidden="1">
      <c r="A2674" s="5" t="s">
        <v>17</v>
      </c>
      <c r="H2674" s="5" t="s">
        <v>21</v>
      </c>
    </row>
    <row r="2675" spans="1:8" hidden="1">
      <c r="A2675" s="6"/>
      <c r="H2675" s="5" t="s">
        <v>21</v>
      </c>
    </row>
    <row r="2676" spans="1:8" hidden="1">
      <c r="A2676" s="5" t="s">
        <v>18</v>
      </c>
      <c r="H2676" s="5" t="s">
        <v>21</v>
      </c>
    </row>
    <row r="2677" spans="1:8" hidden="1">
      <c r="A2677" s="7">
        <v>100000</v>
      </c>
      <c r="H2677" s="5" t="s">
        <v>21</v>
      </c>
    </row>
    <row r="2678" spans="1:8" hidden="1">
      <c r="A2678" s="6"/>
      <c r="H2678" s="5" t="s">
        <v>21</v>
      </c>
    </row>
    <row r="2679" spans="1:8" hidden="1">
      <c r="A2679" s="5" t="s">
        <v>19</v>
      </c>
      <c r="H2679" s="5" t="s">
        <v>21</v>
      </c>
    </row>
    <row r="2680" spans="1:8" hidden="1">
      <c r="A2680" s="5" t="s">
        <v>20</v>
      </c>
      <c r="H2680" s="5" t="s">
        <v>21</v>
      </c>
    </row>
    <row r="2681" spans="1:8" hidden="1">
      <c r="A2681" s="5" t="s">
        <v>21</v>
      </c>
      <c r="H2681" s="5" t="s">
        <v>21</v>
      </c>
    </row>
    <row r="2682" spans="1:8" hidden="1">
      <c r="A2682" s="5" t="s">
        <v>22</v>
      </c>
      <c r="H2682" s="5" t="s">
        <v>21</v>
      </c>
    </row>
    <row r="2683" spans="1:8" hidden="1">
      <c r="A2683" s="5" t="s">
        <v>23</v>
      </c>
      <c r="H2683" s="5" t="s">
        <v>21</v>
      </c>
    </row>
    <row r="2684" spans="1:8" hidden="1">
      <c r="A2684" s="5" t="s">
        <v>24</v>
      </c>
      <c r="H2684" s="5" t="s">
        <v>21</v>
      </c>
    </row>
    <row r="2685" spans="1:8" hidden="1">
      <c r="A2685" s="5" t="s">
        <v>25</v>
      </c>
      <c r="H2685" s="5" t="s">
        <v>21</v>
      </c>
    </row>
    <row r="2686" spans="1:8" hidden="1">
      <c r="A2686" s="5" t="s">
        <v>26</v>
      </c>
      <c r="H2686" s="5" t="s">
        <v>21</v>
      </c>
    </row>
    <row r="2687" spans="1:8" hidden="1">
      <c r="A2687" s="5" t="s">
        <v>27</v>
      </c>
      <c r="H2687" s="5" t="s">
        <v>21</v>
      </c>
    </row>
    <row r="2688" spans="1:8" hidden="1">
      <c r="A2688" s="5" t="s">
        <v>6</v>
      </c>
      <c r="H2688" s="5" t="s">
        <v>21</v>
      </c>
    </row>
    <row r="2689" spans="1:8" hidden="1">
      <c r="A2689" s="5" t="s">
        <v>28</v>
      </c>
      <c r="H2689" s="5" t="s">
        <v>21</v>
      </c>
    </row>
    <row r="2690" spans="1:8" hidden="1">
      <c r="A2690" s="5" t="s">
        <v>29</v>
      </c>
      <c r="H2690" s="5" t="s">
        <v>21</v>
      </c>
    </row>
    <row r="2691" spans="1:8" hidden="1">
      <c r="A2691" s="6"/>
      <c r="H2691" s="5" t="s">
        <v>21</v>
      </c>
    </row>
    <row r="2692" spans="1:8" hidden="1">
      <c r="A2692" s="6"/>
      <c r="H2692" s="5" t="s">
        <v>21</v>
      </c>
    </row>
    <row r="2693" spans="1:8" hidden="1">
      <c r="A2693" s="5" t="s">
        <v>6</v>
      </c>
      <c r="H2693" s="5" t="s">
        <v>21</v>
      </c>
    </row>
    <row r="2694" spans="1:8" hidden="1">
      <c r="A2694" s="5" t="s">
        <v>30</v>
      </c>
      <c r="H2694" s="5" t="s">
        <v>21</v>
      </c>
    </row>
    <row r="2695" spans="1:8" hidden="1">
      <c r="A2695" s="6"/>
      <c r="H2695" s="5" t="s">
        <v>21</v>
      </c>
    </row>
    <row r="2696" spans="1:8" hidden="1">
      <c r="A2696" s="5" t="s">
        <v>31</v>
      </c>
      <c r="H2696" s="5" t="s">
        <v>21</v>
      </c>
    </row>
    <row r="2697" spans="1:8" hidden="1">
      <c r="A2697" s="5" t="s">
        <v>32</v>
      </c>
      <c r="H2697" s="5" t="s">
        <v>21</v>
      </c>
    </row>
    <row r="2698" spans="1:8" hidden="1">
      <c r="A2698" s="5" t="s">
        <v>33</v>
      </c>
      <c r="H2698" s="5" t="s">
        <v>21</v>
      </c>
    </row>
    <row r="2699" spans="1:8" hidden="1">
      <c r="A2699" s="5" t="s">
        <v>34</v>
      </c>
      <c r="H2699" s="5" t="s">
        <v>21</v>
      </c>
    </row>
    <row r="2700" spans="1:8" hidden="1">
      <c r="A2700" s="5" t="s">
        <v>35</v>
      </c>
      <c r="H2700" s="5" t="s">
        <v>21</v>
      </c>
    </row>
    <row r="2701" spans="1:8" hidden="1">
      <c r="A2701" s="5" t="s">
        <v>36</v>
      </c>
      <c r="H2701" s="5" t="s">
        <v>21</v>
      </c>
    </row>
    <row r="2702" spans="1:8" hidden="1">
      <c r="A2702" s="5" t="s">
        <v>37</v>
      </c>
      <c r="H2702" s="5" t="s">
        <v>21</v>
      </c>
    </row>
    <row r="2703" spans="1:8" hidden="1">
      <c r="A2703" s="5" t="s">
        <v>38</v>
      </c>
      <c r="H2703" s="5" t="s">
        <v>21</v>
      </c>
    </row>
    <row r="2704" spans="1:8" hidden="1">
      <c r="A2704" s="5" t="s">
        <v>39</v>
      </c>
      <c r="H2704" s="5" t="s">
        <v>21</v>
      </c>
    </row>
    <row r="2705" spans="1:8" hidden="1">
      <c r="A2705" s="6"/>
      <c r="H2705" s="5" t="s">
        <v>21</v>
      </c>
    </row>
    <row r="2706" spans="1:8" hidden="1">
      <c r="A2706" s="5" t="s">
        <v>260</v>
      </c>
      <c r="H2706" s="5" t="s">
        <v>21</v>
      </c>
    </row>
    <row r="2707" spans="1:8" hidden="1">
      <c r="A2707" s="5" t="s">
        <v>261</v>
      </c>
      <c r="H2707" s="5" t="s">
        <v>21</v>
      </c>
    </row>
    <row r="2708" spans="1:8" hidden="1">
      <c r="A2708" s="6"/>
      <c r="H2708" s="5" t="s">
        <v>21</v>
      </c>
    </row>
    <row r="2709" spans="1:8" hidden="1">
      <c r="A2709" s="6"/>
      <c r="H2709" s="5" t="s">
        <v>21</v>
      </c>
    </row>
    <row r="2710" spans="1:8" hidden="1">
      <c r="A2710" s="6"/>
      <c r="H2710" s="5" t="s">
        <v>21</v>
      </c>
    </row>
    <row r="2711" spans="1:8" hidden="1">
      <c r="A2711" s="6"/>
      <c r="H2711" s="5" t="s">
        <v>21</v>
      </c>
    </row>
    <row r="2712" spans="1:8" hidden="1">
      <c r="A2712" s="5" t="s">
        <v>6</v>
      </c>
      <c r="H2712" s="5" t="s">
        <v>21</v>
      </c>
    </row>
    <row r="2713" spans="1:8" hidden="1">
      <c r="A2713" s="5" t="s">
        <v>40</v>
      </c>
      <c r="H2713" s="5" t="s">
        <v>21</v>
      </c>
    </row>
    <row r="2714" spans="1:8" hidden="1">
      <c r="A2714" s="6"/>
      <c r="H2714" s="5" t="s">
        <v>21</v>
      </c>
    </row>
    <row r="2715" spans="1:8" hidden="1">
      <c r="A2715" s="5" t="s">
        <v>41</v>
      </c>
      <c r="H2715" s="5" t="s">
        <v>21</v>
      </c>
    </row>
    <row r="2716" spans="1:8" hidden="1">
      <c r="A2716" s="6"/>
      <c r="H2716" s="5" t="s">
        <v>21</v>
      </c>
    </row>
    <row r="2717" spans="1:8" hidden="1">
      <c r="A2717" s="5" t="s">
        <v>42</v>
      </c>
      <c r="H2717" s="5" t="s">
        <v>21</v>
      </c>
    </row>
    <row r="2718" spans="1:8" hidden="1">
      <c r="A2718" s="6"/>
      <c r="H2718" s="5" t="s">
        <v>21</v>
      </c>
    </row>
    <row r="2719" spans="1:8" hidden="1">
      <c r="A2719" s="5" t="s">
        <v>43</v>
      </c>
      <c r="H2719" s="5" t="s">
        <v>21</v>
      </c>
    </row>
    <row r="2720" spans="1:8" hidden="1">
      <c r="A2720" s="5" t="s">
        <v>44</v>
      </c>
      <c r="H2720" s="5" t="s">
        <v>21</v>
      </c>
    </row>
    <row r="2721" spans="1:8" hidden="1">
      <c r="A2721" s="5" t="s">
        <v>45</v>
      </c>
      <c r="H2721" s="5" t="s">
        <v>21</v>
      </c>
    </row>
    <row r="2722" spans="1:8" hidden="1">
      <c r="A2722" s="5" t="s">
        <v>46</v>
      </c>
      <c r="H2722" s="5" t="s">
        <v>21</v>
      </c>
    </row>
    <row r="2723" spans="1:8" hidden="1">
      <c r="A2723" s="5" t="s">
        <v>47</v>
      </c>
      <c r="H2723" s="5" t="s">
        <v>21</v>
      </c>
    </row>
    <row r="2724" spans="1:8" hidden="1">
      <c r="A2724" s="5" t="s">
        <v>37</v>
      </c>
      <c r="H2724" s="5" t="s">
        <v>21</v>
      </c>
    </row>
    <row r="2725" spans="1:8" hidden="1">
      <c r="A2725" s="6"/>
      <c r="H2725" s="5" t="s">
        <v>21</v>
      </c>
    </row>
    <row r="2726" spans="1:8" hidden="1">
      <c r="A2726" s="5" t="s">
        <v>260</v>
      </c>
      <c r="H2726" s="5" t="s">
        <v>21</v>
      </c>
    </row>
    <row r="2727" spans="1:8" hidden="1">
      <c r="A2727" s="5" t="s">
        <v>261</v>
      </c>
      <c r="H2727" s="5" t="s">
        <v>21</v>
      </c>
    </row>
    <row r="2728" spans="1:8" hidden="1">
      <c r="A2728" s="6"/>
      <c r="H2728" s="5" t="s">
        <v>195</v>
      </c>
    </row>
    <row r="2729" spans="1:8" hidden="1">
      <c r="A2729" s="6"/>
      <c r="H2729" s="5" t="s">
        <v>402</v>
      </c>
    </row>
    <row r="2730" spans="1:8" hidden="1">
      <c r="A2730" s="5" t="s">
        <v>3</v>
      </c>
      <c r="H2730" s="5" t="s">
        <v>192</v>
      </c>
    </row>
    <row r="2731" spans="1:8" hidden="1">
      <c r="A2731" s="5" t="s">
        <v>4</v>
      </c>
      <c r="H2731" s="5" t="s">
        <v>320</v>
      </c>
    </row>
    <row r="2732" spans="1:8" hidden="1">
      <c r="A2732" s="5" t="s">
        <v>5</v>
      </c>
      <c r="H2732" s="5" t="s">
        <v>383</v>
      </c>
    </row>
    <row r="2733" spans="1:8" hidden="1">
      <c r="A2733" s="5" t="s">
        <v>6</v>
      </c>
      <c r="H2733" s="5" t="s">
        <v>23</v>
      </c>
    </row>
    <row r="2734" spans="1:8" hidden="1">
      <c r="A2734" s="5" t="s">
        <v>7</v>
      </c>
      <c r="H2734" s="5" t="s">
        <v>23</v>
      </c>
    </row>
    <row r="2735" spans="1:8" hidden="1">
      <c r="A2735" s="5" t="s">
        <v>6</v>
      </c>
      <c r="H2735" s="5" t="s">
        <v>23</v>
      </c>
    </row>
    <row r="2736" spans="1:8" hidden="1">
      <c r="A2736" s="5" t="s">
        <v>262</v>
      </c>
      <c r="H2736" s="5" t="s">
        <v>23</v>
      </c>
    </row>
    <row r="2737" spans="1:8" hidden="1">
      <c r="A2737" s="5" t="s">
        <v>263</v>
      </c>
      <c r="H2737" s="5" t="s">
        <v>23</v>
      </c>
    </row>
    <row r="2738" spans="1:8" hidden="1">
      <c r="A2738" s="6"/>
      <c r="H2738" s="5" t="s">
        <v>23</v>
      </c>
    </row>
    <row r="2739" spans="1:8" hidden="1">
      <c r="A2739" s="5" t="s">
        <v>58</v>
      </c>
      <c r="H2739" s="5" t="s">
        <v>23</v>
      </c>
    </row>
    <row r="2740" spans="1:8" hidden="1">
      <c r="A2740" s="5" t="s">
        <v>59</v>
      </c>
      <c r="H2740" s="5" t="s">
        <v>23</v>
      </c>
    </row>
    <row r="2741" spans="1:8" hidden="1">
      <c r="A2741" s="5" t="s">
        <v>60</v>
      </c>
      <c r="H2741" s="5" t="s">
        <v>23</v>
      </c>
    </row>
    <row r="2742" spans="1:8" hidden="1">
      <c r="A2742" s="5" t="s">
        <v>207</v>
      </c>
      <c r="H2742" s="5" t="s">
        <v>23</v>
      </c>
    </row>
    <row r="2743" spans="1:8" hidden="1">
      <c r="A2743" s="5" t="s">
        <v>103</v>
      </c>
      <c r="H2743" s="5" t="s">
        <v>23</v>
      </c>
    </row>
    <row r="2744" spans="1:8" hidden="1">
      <c r="A2744" s="5" t="s">
        <v>6</v>
      </c>
      <c r="H2744" s="5" t="s">
        <v>23</v>
      </c>
    </row>
    <row r="2745" spans="1:8" hidden="1">
      <c r="A2745" s="5" t="s">
        <v>264</v>
      </c>
      <c r="H2745" s="5" t="s">
        <v>23</v>
      </c>
    </row>
    <row r="2746" spans="1:8" hidden="1">
      <c r="A2746" s="5" t="s">
        <v>17</v>
      </c>
      <c r="H2746" s="5" t="s">
        <v>23</v>
      </c>
    </row>
    <row r="2747" spans="1:8" hidden="1">
      <c r="A2747" s="5" t="s">
        <v>265</v>
      </c>
      <c r="H2747" s="5" t="s">
        <v>23</v>
      </c>
    </row>
    <row r="2748" spans="1:8" hidden="1">
      <c r="A2748" s="6"/>
      <c r="H2748" s="5" t="s">
        <v>23</v>
      </c>
    </row>
    <row r="2749" spans="1:8" hidden="1">
      <c r="A2749" s="5" t="s">
        <v>18</v>
      </c>
      <c r="H2749" s="5" t="s">
        <v>23</v>
      </c>
    </row>
    <row r="2750" spans="1:8" hidden="1">
      <c r="A2750" s="7">
        <v>181860</v>
      </c>
      <c r="H2750" s="5" t="s">
        <v>23</v>
      </c>
    </row>
    <row r="2751" spans="1:8" hidden="1">
      <c r="A2751" s="6"/>
      <c r="H2751" s="5" t="s">
        <v>23</v>
      </c>
    </row>
    <row r="2752" spans="1:8" hidden="1">
      <c r="A2752" s="5" t="s">
        <v>19</v>
      </c>
      <c r="H2752" s="5" t="s">
        <v>23</v>
      </c>
    </row>
    <row r="2753" spans="1:8" hidden="1">
      <c r="A2753" s="5" t="s">
        <v>20</v>
      </c>
      <c r="H2753" s="5" t="s">
        <v>23</v>
      </c>
    </row>
    <row r="2754" spans="1:8" hidden="1">
      <c r="A2754" s="5" t="s">
        <v>21</v>
      </c>
      <c r="H2754" s="5" t="s">
        <v>23</v>
      </c>
    </row>
    <row r="2755" spans="1:8" hidden="1">
      <c r="A2755" s="5" t="s">
        <v>22</v>
      </c>
      <c r="H2755" s="5" t="s">
        <v>23</v>
      </c>
    </row>
    <row r="2756" spans="1:8" hidden="1">
      <c r="A2756" s="5" t="s">
        <v>23</v>
      </c>
      <c r="H2756" s="5" t="s">
        <v>23</v>
      </c>
    </row>
    <row r="2757" spans="1:8" hidden="1">
      <c r="A2757" s="5" t="s">
        <v>24</v>
      </c>
      <c r="H2757" s="5" t="s">
        <v>23</v>
      </c>
    </row>
    <row r="2758" spans="1:8" hidden="1">
      <c r="A2758" s="5" t="s">
        <v>25</v>
      </c>
      <c r="H2758" s="5" t="s">
        <v>23</v>
      </c>
    </row>
    <row r="2759" spans="1:8" hidden="1">
      <c r="A2759" s="5" t="s">
        <v>26</v>
      </c>
      <c r="H2759" s="5" t="s">
        <v>23</v>
      </c>
    </row>
    <row r="2760" spans="1:8" hidden="1">
      <c r="A2760" s="5" t="s">
        <v>27</v>
      </c>
      <c r="H2760" s="5" t="s">
        <v>23</v>
      </c>
    </row>
    <row r="2761" spans="1:8" hidden="1">
      <c r="A2761" s="5" t="s">
        <v>6</v>
      </c>
      <c r="H2761" s="5" t="s">
        <v>23</v>
      </c>
    </row>
    <row r="2762" spans="1:8" hidden="1">
      <c r="A2762" s="5" t="s">
        <v>28</v>
      </c>
      <c r="H2762" s="5" t="s">
        <v>23</v>
      </c>
    </row>
    <row r="2763" spans="1:8" hidden="1">
      <c r="A2763" s="5" t="s">
        <v>29</v>
      </c>
      <c r="H2763" s="5" t="s">
        <v>23</v>
      </c>
    </row>
    <row r="2764" spans="1:8" hidden="1">
      <c r="A2764" s="6"/>
      <c r="H2764" s="5" t="s">
        <v>23</v>
      </c>
    </row>
    <row r="2765" spans="1:8" hidden="1">
      <c r="A2765" s="6"/>
      <c r="H2765" s="5" t="s">
        <v>23</v>
      </c>
    </row>
    <row r="2766" spans="1:8" hidden="1">
      <c r="A2766" s="5" t="s">
        <v>6</v>
      </c>
      <c r="H2766" s="5" t="s">
        <v>23</v>
      </c>
    </row>
    <row r="2767" spans="1:8" hidden="1">
      <c r="A2767" s="5" t="s">
        <v>30</v>
      </c>
      <c r="H2767" s="5" t="s">
        <v>23</v>
      </c>
    </row>
    <row r="2768" spans="1:8" hidden="1">
      <c r="A2768" s="6"/>
      <c r="H2768" s="5" t="s">
        <v>23</v>
      </c>
    </row>
    <row r="2769" spans="1:8" hidden="1">
      <c r="A2769" s="5" t="s">
        <v>31</v>
      </c>
      <c r="H2769" s="5" t="s">
        <v>23</v>
      </c>
    </row>
    <row r="2770" spans="1:8" hidden="1">
      <c r="A2770" s="5" t="s">
        <v>32</v>
      </c>
      <c r="H2770" s="5" t="s">
        <v>23</v>
      </c>
    </row>
    <row r="2771" spans="1:8" hidden="1">
      <c r="A2771" s="5" t="s">
        <v>33</v>
      </c>
      <c r="H2771" s="5" t="s">
        <v>23</v>
      </c>
    </row>
    <row r="2772" spans="1:8" hidden="1">
      <c r="A2772" s="5" t="s">
        <v>34</v>
      </c>
      <c r="H2772" s="5" t="s">
        <v>23</v>
      </c>
    </row>
    <row r="2773" spans="1:8" hidden="1">
      <c r="A2773" s="5" t="s">
        <v>35</v>
      </c>
      <c r="H2773" s="5" t="s">
        <v>23</v>
      </c>
    </row>
    <row r="2774" spans="1:8" hidden="1">
      <c r="A2774" s="5" t="s">
        <v>36</v>
      </c>
      <c r="H2774" s="5" t="s">
        <v>23</v>
      </c>
    </row>
    <row r="2775" spans="1:8" hidden="1">
      <c r="A2775" s="5" t="s">
        <v>37</v>
      </c>
      <c r="H2775" s="5" t="s">
        <v>23</v>
      </c>
    </row>
    <row r="2776" spans="1:8" hidden="1">
      <c r="A2776" s="5" t="s">
        <v>38</v>
      </c>
      <c r="H2776" s="5" t="s">
        <v>23</v>
      </c>
    </row>
    <row r="2777" spans="1:8" hidden="1">
      <c r="A2777" s="5" t="s">
        <v>39</v>
      </c>
      <c r="H2777" s="5" t="s">
        <v>23</v>
      </c>
    </row>
    <row r="2778" spans="1:8" hidden="1">
      <c r="A2778" s="6"/>
      <c r="H2778" s="5" t="s">
        <v>23</v>
      </c>
    </row>
    <row r="2779" spans="1:8" hidden="1">
      <c r="A2779" s="5" t="s">
        <v>262</v>
      </c>
      <c r="H2779" s="5" t="s">
        <v>23</v>
      </c>
    </row>
    <row r="2780" spans="1:8" hidden="1">
      <c r="A2780" s="5" t="s">
        <v>263</v>
      </c>
      <c r="H2780" s="5" t="s">
        <v>23</v>
      </c>
    </row>
    <row r="2781" spans="1:8" hidden="1">
      <c r="A2781" s="6"/>
      <c r="H2781" s="5" t="s">
        <v>23</v>
      </c>
    </row>
    <row r="2782" spans="1:8" hidden="1">
      <c r="A2782" s="6"/>
      <c r="H2782" s="5" t="s">
        <v>23</v>
      </c>
    </row>
    <row r="2783" spans="1:8" hidden="1">
      <c r="A2783" s="5" t="s">
        <v>3</v>
      </c>
      <c r="H2783" s="5" t="s">
        <v>23</v>
      </c>
    </row>
    <row r="2784" spans="1:8" hidden="1">
      <c r="A2784" s="5" t="s">
        <v>4</v>
      </c>
      <c r="H2784" s="5" t="s">
        <v>23</v>
      </c>
    </row>
    <row r="2785" spans="1:8" hidden="1">
      <c r="A2785" s="5" t="s">
        <v>5</v>
      </c>
      <c r="H2785" s="5" t="s">
        <v>23</v>
      </c>
    </row>
    <row r="2786" spans="1:8" hidden="1">
      <c r="A2786" s="5" t="s">
        <v>6</v>
      </c>
      <c r="H2786" s="5" t="s">
        <v>23</v>
      </c>
    </row>
    <row r="2787" spans="1:8" hidden="1">
      <c r="A2787" s="5" t="s">
        <v>7</v>
      </c>
      <c r="H2787" s="5" t="s">
        <v>23</v>
      </c>
    </row>
    <row r="2788" spans="1:8" hidden="1">
      <c r="A2788" s="5" t="s">
        <v>6</v>
      </c>
      <c r="H2788" s="5" t="s">
        <v>23</v>
      </c>
    </row>
    <row r="2789" spans="1:8" hidden="1">
      <c r="A2789" s="5" t="s">
        <v>266</v>
      </c>
      <c r="H2789" s="5" t="s">
        <v>23</v>
      </c>
    </row>
    <row r="2790" spans="1:8" hidden="1">
      <c r="A2790" s="5" t="s">
        <v>267</v>
      </c>
      <c r="H2790" s="5" t="s">
        <v>23</v>
      </c>
    </row>
    <row r="2791" spans="1:8" hidden="1">
      <c r="A2791" s="6"/>
      <c r="H2791" s="5" t="s">
        <v>23</v>
      </c>
    </row>
    <row r="2792" spans="1:8" hidden="1">
      <c r="A2792" s="5" t="s">
        <v>109</v>
      </c>
      <c r="H2792" s="5" t="s">
        <v>23</v>
      </c>
    </row>
    <row r="2793" spans="1:8" hidden="1">
      <c r="A2793" s="5" t="s">
        <v>103</v>
      </c>
      <c r="H2793" s="5" t="s">
        <v>23</v>
      </c>
    </row>
    <row r="2794" spans="1:8" hidden="1">
      <c r="A2794" s="5" t="s">
        <v>6</v>
      </c>
      <c r="H2794" s="5" t="s">
        <v>23</v>
      </c>
    </row>
    <row r="2795" spans="1:8" hidden="1">
      <c r="A2795" s="5" t="s">
        <v>110</v>
      </c>
      <c r="H2795" s="5" t="s">
        <v>23</v>
      </c>
    </row>
    <row r="2796" spans="1:8" hidden="1">
      <c r="A2796" s="5" t="s">
        <v>17</v>
      </c>
      <c r="H2796" s="5" t="s">
        <v>23</v>
      </c>
    </row>
    <row r="2797" spans="1:8" hidden="1">
      <c r="A2797" s="5" t="s">
        <v>111</v>
      </c>
      <c r="H2797" s="5" t="s">
        <v>23</v>
      </c>
    </row>
    <row r="2798" spans="1:8" hidden="1">
      <c r="A2798" s="6"/>
      <c r="H2798" s="5" t="s">
        <v>24</v>
      </c>
    </row>
    <row r="2799" spans="1:8" hidden="1">
      <c r="A2799" s="5" t="s">
        <v>19</v>
      </c>
      <c r="H2799" s="5" t="s">
        <v>24</v>
      </c>
    </row>
    <row r="2800" spans="1:8" hidden="1">
      <c r="A2800" s="5" t="s">
        <v>20</v>
      </c>
      <c r="H2800" s="5" t="s">
        <v>24</v>
      </c>
    </row>
    <row r="2801" spans="1:8" hidden="1">
      <c r="A2801" s="5" t="s">
        <v>21</v>
      </c>
      <c r="H2801" s="5" t="s">
        <v>24</v>
      </c>
    </row>
    <row r="2802" spans="1:8" hidden="1">
      <c r="A2802" s="5" t="s">
        <v>22</v>
      </c>
      <c r="H2802" s="5" t="s">
        <v>24</v>
      </c>
    </row>
    <row r="2803" spans="1:8" hidden="1">
      <c r="A2803" s="5" t="s">
        <v>23</v>
      </c>
      <c r="H2803" s="5" t="s">
        <v>24</v>
      </c>
    </row>
    <row r="2804" spans="1:8" hidden="1">
      <c r="A2804" s="5" t="s">
        <v>24</v>
      </c>
      <c r="H2804" s="5" t="s">
        <v>24</v>
      </c>
    </row>
    <row r="2805" spans="1:8" hidden="1">
      <c r="A2805" s="5" t="s">
        <v>25</v>
      </c>
      <c r="H2805" s="5" t="s">
        <v>24</v>
      </c>
    </row>
    <row r="2806" spans="1:8" hidden="1">
      <c r="A2806" s="5" t="s">
        <v>26</v>
      </c>
      <c r="H2806" s="5" t="s">
        <v>24</v>
      </c>
    </row>
    <row r="2807" spans="1:8" hidden="1">
      <c r="A2807" s="5" t="s">
        <v>27</v>
      </c>
      <c r="H2807" s="5" t="s">
        <v>24</v>
      </c>
    </row>
    <row r="2808" spans="1:8" hidden="1">
      <c r="A2808" s="5" t="s">
        <v>6</v>
      </c>
      <c r="H2808" s="5" t="s">
        <v>24</v>
      </c>
    </row>
    <row r="2809" spans="1:8" hidden="1">
      <c r="A2809" s="5" t="s">
        <v>28</v>
      </c>
      <c r="H2809" s="5" t="s">
        <v>24</v>
      </c>
    </row>
    <row r="2810" spans="1:8" hidden="1">
      <c r="A2810" s="5" t="s">
        <v>29</v>
      </c>
      <c r="H2810" s="5" t="s">
        <v>24</v>
      </c>
    </row>
    <row r="2811" spans="1:8" hidden="1">
      <c r="A2811" s="6"/>
      <c r="H2811" s="5" t="s">
        <v>24</v>
      </c>
    </row>
    <row r="2812" spans="1:8" hidden="1">
      <c r="A2812" s="6"/>
      <c r="H2812" s="5" t="s">
        <v>24</v>
      </c>
    </row>
    <row r="2813" spans="1:8" hidden="1">
      <c r="A2813" s="5" t="s">
        <v>6</v>
      </c>
      <c r="H2813" s="5" t="s">
        <v>24</v>
      </c>
    </row>
    <row r="2814" spans="1:8" hidden="1">
      <c r="A2814" s="5" t="s">
        <v>30</v>
      </c>
      <c r="H2814" s="5" t="s">
        <v>24</v>
      </c>
    </row>
    <row r="2815" spans="1:8" hidden="1">
      <c r="A2815" s="6"/>
      <c r="H2815" s="5" t="s">
        <v>24</v>
      </c>
    </row>
    <row r="2816" spans="1:8" hidden="1">
      <c r="A2816" s="5" t="s">
        <v>31</v>
      </c>
      <c r="H2816" s="5" t="s">
        <v>24</v>
      </c>
    </row>
    <row r="2817" spans="1:8" hidden="1">
      <c r="A2817" s="5" t="s">
        <v>32</v>
      </c>
      <c r="H2817" s="5" t="s">
        <v>24</v>
      </c>
    </row>
    <row r="2818" spans="1:8" hidden="1">
      <c r="A2818" s="5" t="s">
        <v>33</v>
      </c>
      <c r="H2818" s="5" t="s">
        <v>24</v>
      </c>
    </row>
    <row r="2819" spans="1:8" hidden="1">
      <c r="A2819" s="5" t="s">
        <v>34</v>
      </c>
      <c r="H2819" s="5" t="s">
        <v>24</v>
      </c>
    </row>
    <row r="2820" spans="1:8" hidden="1">
      <c r="A2820" s="5" t="s">
        <v>35</v>
      </c>
      <c r="H2820" s="5" t="s">
        <v>24</v>
      </c>
    </row>
    <row r="2821" spans="1:8" hidden="1">
      <c r="A2821" s="5" t="s">
        <v>36</v>
      </c>
      <c r="H2821" s="5" t="s">
        <v>24</v>
      </c>
    </row>
    <row r="2822" spans="1:8" hidden="1">
      <c r="A2822" s="5" t="s">
        <v>37</v>
      </c>
      <c r="H2822" s="5" t="s">
        <v>24</v>
      </c>
    </row>
    <row r="2823" spans="1:8" hidden="1">
      <c r="A2823" s="5" t="s">
        <v>38</v>
      </c>
      <c r="H2823" s="5" t="s">
        <v>24</v>
      </c>
    </row>
    <row r="2824" spans="1:8" hidden="1">
      <c r="A2824" s="5" t="s">
        <v>39</v>
      </c>
      <c r="H2824" s="5" t="s">
        <v>24</v>
      </c>
    </row>
    <row r="2825" spans="1:8" hidden="1">
      <c r="A2825" s="6"/>
      <c r="H2825" s="5" t="s">
        <v>24</v>
      </c>
    </row>
    <row r="2826" spans="1:8" hidden="1">
      <c r="A2826" s="5" t="s">
        <v>266</v>
      </c>
      <c r="H2826" s="5" t="s">
        <v>24</v>
      </c>
    </row>
    <row r="2827" spans="1:8" hidden="1">
      <c r="A2827" s="5" t="s">
        <v>267</v>
      </c>
      <c r="H2827" s="5" t="s">
        <v>24</v>
      </c>
    </row>
    <row r="2828" spans="1:8" hidden="1">
      <c r="A2828" s="6"/>
      <c r="H2828" s="5" t="s">
        <v>24</v>
      </c>
    </row>
    <row r="2829" spans="1:8" hidden="1">
      <c r="A2829" s="6"/>
      <c r="H2829" s="5" t="s">
        <v>24</v>
      </c>
    </row>
    <row r="2830" spans="1:8" hidden="1">
      <c r="A2830" s="5" t="s">
        <v>3</v>
      </c>
      <c r="H2830" s="5" t="s">
        <v>24</v>
      </c>
    </row>
    <row r="2831" spans="1:8" hidden="1">
      <c r="A2831" s="5" t="s">
        <v>4</v>
      </c>
      <c r="H2831" s="5" t="s">
        <v>24</v>
      </c>
    </row>
    <row r="2832" spans="1:8" hidden="1">
      <c r="A2832" s="5" t="s">
        <v>5</v>
      </c>
      <c r="H2832" s="5" t="s">
        <v>24</v>
      </c>
    </row>
    <row r="2833" spans="1:8" hidden="1">
      <c r="A2833" s="5" t="s">
        <v>6</v>
      </c>
      <c r="H2833" s="5" t="s">
        <v>24</v>
      </c>
    </row>
    <row r="2834" spans="1:8" hidden="1">
      <c r="A2834" s="5" t="s">
        <v>7</v>
      </c>
      <c r="H2834" s="5" t="s">
        <v>24</v>
      </c>
    </row>
    <row r="2835" spans="1:8" hidden="1">
      <c r="A2835" s="5" t="s">
        <v>6</v>
      </c>
      <c r="H2835" s="5" t="s">
        <v>24</v>
      </c>
    </row>
    <row r="2836" spans="1:8" hidden="1">
      <c r="A2836" s="5" t="s">
        <v>268</v>
      </c>
      <c r="H2836" s="5" t="s">
        <v>24</v>
      </c>
    </row>
    <row r="2837" spans="1:8" hidden="1">
      <c r="A2837" s="5" t="s">
        <v>269</v>
      </c>
      <c r="H2837" s="5" t="s">
        <v>24</v>
      </c>
    </row>
    <row r="2838" spans="1:8" hidden="1">
      <c r="A2838" s="6"/>
      <c r="H2838" s="5" t="s">
        <v>24</v>
      </c>
    </row>
    <row r="2839" spans="1:8" hidden="1">
      <c r="A2839" s="5" t="s">
        <v>270</v>
      </c>
      <c r="H2839" s="5" t="s">
        <v>24</v>
      </c>
    </row>
    <row r="2840" spans="1:8" hidden="1">
      <c r="A2840" s="5" t="s">
        <v>271</v>
      </c>
      <c r="H2840" s="5" t="s">
        <v>24</v>
      </c>
    </row>
    <row r="2841" spans="1:8" hidden="1">
      <c r="A2841" s="5" t="s">
        <v>272</v>
      </c>
      <c r="H2841" s="5" t="s">
        <v>24</v>
      </c>
    </row>
    <row r="2842" spans="1:8" hidden="1">
      <c r="A2842" s="5" t="s">
        <v>273</v>
      </c>
      <c r="H2842" s="5" t="s">
        <v>24</v>
      </c>
    </row>
    <row r="2843" spans="1:8" hidden="1">
      <c r="A2843" s="5" t="s">
        <v>70</v>
      </c>
      <c r="H2843" s="5" t="s">
        <v>24</v>
      </c>
    </row>
    <row r="2844" spans="1:8" hidden="1">
      <c r="A2844" s="5" t="s">
        <v>274</v>
      </c>
      <c r="H2844" s="5" t="s">
        <v>24</v>
      </c>
    </row>
    <row r="2845" spans="1:8" hidden="1">
      <c r="A2845" s="5" t="s">
        <v>103</v>
      </c>
      <c r="H2845" s="5" t="s">
        <v>24</v>
      </c>
    </row>
    <row r="2846" spans="1:8" hidden="1">
      <c r="A2846" s="5" t="s">
        <v>275</v>
      </c>
      <c r="H2846" s="5" t="s">
        <v>24</v>
      </c>
    </row>
    <row r="2847" spans="1:8" hidden="1">
      <c r="A2847" s="5" t="s">
        <v>6</v>
      </c>
      <c r="H2847" s="5" t="s">
        <v>24</v>
      </c>
    </row>
    <row r="2848" spans="1:8" hidden="1">
      <c r="A2848" s="5" t="s">
        <v>276</v>
      </c>
      <c r="H2848" s="5" t="s">
        <v>24</v>
      </c>
    </row>
    <row r="2849" spans="1:8" hidden="1">
      <c r="A2849" s="5" t="s">
        <v>277</v>
      </c>
      <c r="H2849" s="5" t="s">
        <v>24</v>
      </c>
    </row>
    <row r="2850" spans="1:8" hidden="1">
      <c r="A2850" s="5" t="s">
        <v>278</v>
      </c>
      <c r="H2850" s="5" t="s">
        <v>24</v>
      </c>
    </row>
    <row r="2851" spans="1:8" hidden="1">
      <c r="A2851" s="6"/>
      <c r="H2851" s="5" t="s">
        <v>24</v>
      </c>
    </row>
    <row r="2852" spans="1:8" hidden="1">
      <c r="A2852" s="5" t="s">
        <v>18</v>
      </c>
      <c r="H2852" s="5" t="s">
        <v>24</v>
      </c>
    </row>
    <row r="2853" spans="1:8" hidden="1">
      <c r="A2853" s="7">
        <v>79800</v>
      </c>
      <c r="H2853" s="5" t="s">
        <v>24</v>
      </c>
    </row>
    <row r="2854" spans="1:8" hidden="1">
      <c r="A2854" s="6"/>
      <c r="H2854" s="5" t="s">
        <v>24</v>
      </c>
    </row>
    <row r="2855" spans="1:8" hidden="1">
      <c r="A2855" s="5" t="s">
        <v>19</v>
      </c>
      <c r="H2855" s="5" t="s">
        <v>24</v>
      </c>
    </row>
    <row r="2856" spans="1:8" hidden="1">
      <c r="A2856" s="5" t="s">
        <v>20</v>
      </c>
      <c r="H2856" s="5" t="s">
        <v>24</v>
      </c>
    </row>
    <row r="2857" spans="1:8" hidden="1">
      <c r="A2857" s="5" t="s">
        <v>21</v>
      </c>
      <c r="H2857" s="5" t="s">
        <v>24</v>
      </c>
    </row>
    <row r="2858" spans="1:8" hidden="1">
      <c r="A2858" s="5" t="s">
        <v>22</v>
      </c>
      <c r="H2858" s="5" t="s">
        <v>24</v>
      </c>
    </row>
    <row r="2859" spans="1:8" hidden="1">
      <c r="A2859" s="5" t="s">
        <v>23</v>
      </c>
      <c r="H2859" s="5" t="s">
        <v>24</v>
      </c>
    </row>
    <row r="2860" spans="1:8" hidden="1">
      <c r="A2860" s="5" t="s">
        <v>24</v>
      </c>
      <c r="H2860" s="5" t="s">
        <v>24</v>
      </c>
    </row>
    <row r="2861" spans="1:8" hidden="1">
      <c r="A2861" s="5" t="s">
        <v>25</v>
      </c>
      <c r="H2861" s="5" t="s">
        <v>24</v>
      </c>
    </row>
    <row r="2862" spans="1:8" hidden="1">
      <c r="A2862" s="5" t="s">
        <v>26</v>
      </c>
      <c r="H2862" s="5" t="s">
        <v>24</v>
      </c>
    </row>
    <row r="2863" spans="1:8" hidden="1">
      <c r="A2863" s="5" t="s">
        <v>27</v>
      </c>
      <c r="H2863" s="5" t="s">
        <v>22</v>
      </c>
    </row>
    <row r="2864" spans="1:8" hidden="1">
      <c r="A2864" s="5" t="s">
        <v>6</v>
      </c>
      <c r="H2864" s="5" t="s">
        <v>22</v>
      </c>
    </row>
    <row r="2865" spans="1:8" hidden="1">
      <c r="A2865" s="5" t="s">
        <v>28</v>
      </c>
      <c r="H2865" s="5" t="s">
        <v>22</v>
      </c>
    </row>
    <row r="2866" spans="1:8" hidden="1">
      <c r="A2866" s="5" t="s">
        <v>29</v>
      </c>
      <c r="H2866" s="5" t="s">
        <v>22</v>
      </c>
    </row>
    <row r="2867" spans="1:8" hidden="1">
      <c r="A2867" s="6"/>
      <c r="H2867" s="5" t="s">
        <v>22</v>
      </c>
    </row>
    <row r="2868" spans="1:8" hidden="1">
      <c r="A2868" s="6"/>
      <c r="H2868" s="5" t="s">
        <v>22</v>
      </c>
    </row>
    <row r="2869" spans="1:8" hidden="1">
      <c r="A2869" s="5" t="s">
        <v>6</v>
      </c>
      <c r="H2869" s="5" t="s">
        <v>22</v>
      </c>
    </row>
    <row r="2870" spans="1:8" hidden="1">
      <c r="A2870" s="5" t="s">
        <v>30</v>
      </c>
      <c r="H2870" s="5" t="s">
        <v>22</v>
      </c>
    </row>
    <row r="2871" spans="1:8" hidden="1">
      <c r="A2871" s="6"/>
      <c r="H2871" s="5" t="s">
        <v>22</v>
      </c>
    </row>
    <row r="2872" spans="1:8" hidden="1">
      <c r="A2872" s="5" t="s">
        <v>31</v>
      </c>
      <c r="H2872" s="5" t="s">
        <v>22</v>
      </c>
    </row>
    <row r="2873" spans="1:8" hidden="1">
      <c r="A2873" s="5" t="s">
        <v>32</v>
      </c>
      <c r="H2873" s="5" t="s">
        <v>22</v>
      </c>
    </row>
    <row r="2874" spans="1:8" hidden="1">
      <c r="A2874" s="5" t="s">
        <v>33</v>
      </c>
      <c r="H2874" s="5" t="s">
        <v>22</v>
      </c>
    </row>
    <row r="2875" spans="1:8" hidden="1">
      <c r="A2875" s="5" t="s">
        <v>34</v>
      </c>
      <c r="H2875" s="5" t="s">
        <v>22</v>
      </c>
    </row>
    <row r="2876" spans="1:8" hidden="1">
      <c r="A2876" s="5" t="s">
        <v>35</v>
      </c>
      <c r="H2876" s="5" t="s">
        <v>22</v>
      </c>
    </row>
    <row r="2877" spans="1:8" hidden="1">
      <c r="A2877" s="5" t="s">
        <v>36</v>
      </c>
      <c r="H2877" s="5" t="s">
        <v>22</v>
      </c>
    </row>
    <row r="2878" spans="1:8" hidden="1">
      <c r="A2878" s="5" t="s">
        <v>37</v>
      </c>
      <c r="H2878" s="5" t="s">
        <v>22</v>
      </c>
    </row>
    <row r="2879" spans="1:8" hidden="1">
      <c r="A2879" s="5" t="s">
        <v>38</v>
      </c>
      <c r="H2879" s="5" t="s">
        <v>22</v>
      </c>
    </row>
    <row r="2880" spans="1:8" hidden="1">
      <c r="A2880" s="5" t="s">
        <v>39</v>
      </c>
      <c r="H2880" s="5" t="s">
        <v>22</v>
      </c>
    </row>
    <row r="2881" spans="1:8" hidden="1">
      <c r="A2881" s="6"/>
      <c r="H2881" s="5" t="s">
        <v>22</v>
      </c>
    </row>
    <row r="2882" spans="1:8" hidden="1">
      <c r="A2882" s="5" t="s">
        <v>268</v>
      </c>
      <c r="H2882" s="5" t="s">
        <v>22</v>
      </c>
    </row>
    <row r="2883" spans="1:8" hidden="1">
      <c r="A2883" s="5" t="s">
        <v>269</v>
      </c>
      <c r="H2883" s="5" t="s">
        <v>22</v>
      </c>
    </row>
    <row r="2884" spans="1:8" hidden="1">
      <c r="A2884" s="6"/>
      <c r="H2884" s="5" t="s">
        <v>22</v>
      </c>
    </row>
    <row r="2885" spans="1:8" hidden="1">
      <c r="A2885" s="6"/>
      <c r="H2885" s="5" t="s">
        <v>22</v>
      </c>
    </row>
    <row r="2886" spans="1:8" hidden="1">
      <c r="A2886" s="6"/>
      <c r="H2886" s="5" t="s">
        <v>22</v>
      </c>
    </row>
    <row r="2887" spans="1:8" hidden="1">
      <c r="A2887" s="6"/>
      <c r="H2887" s="5" t="s">
        <v>22</v>
      </c>
    </row>
    <row r="2888" spans="1:8" hidden="1">
      <c r="A2888" s="5" t="s">
        <v>6</v>
      </c>
      <c r="H2888" s="5" t="s">
        <v>22</v>
      </c>
    </row>
    <row r="2889" spans="1:8" hidden="1">
      <c r="A2889" s="5" t="s">
        <v>40</v>
      </c>
      <c r="H2889" s="5" t="s">
        <v>22</v>
      </c>
    </row>
    <row r="2890" spans="1:8" hidden="1">
      <c r="A2890" s="6"/>
      <c r="H2890" s="5" t="s">
        <v>22</v>
      </c>
    </row>
    <row r="2891" spans="1:8" hidden="1">
      <c r="A2891" s="5" t="s">
        <v>41</v>
      </c>
      <c r="H2891" s="5" t="s">
        <v>22</v>
      </c>
    </row>
    <row r="2892" spans="1:8" hidden="1">
      <c r="A2892" s="6"/>
      <c r="H2892" s="5" t="s">
        <v>22</v>
      </c>
    </row>
    <row r="2893" spans="1:8" hidden="1">
      <c r="A2893" s="5" t="s">
        <v>42</v>
      </c>
      <c r="H2893" s="5" t="s">
        <v>22</v>
      </c>
    </row>
    <row r="2894" spans="1:8" hidden="1">
      <c r="A2894" s="6"/>
      <c r="H2894" s="5" t="s">
        <v>22</v>
      </c>
    </row>
    <row r="2895" spans="1:8" hidden="1">
      <c r="A2895" s="5" t="s">
        <v>43</v>
      </c>
      <c r="H2895" s="5" t="s">
        <v>22</v>
      </c>
    </row>
    <row r="2896" spans="1:8" hidden="1">
      <c r="A2896" s="5" t="s">
        <v>44</v>
      </c>
      <c r="H2896" s="5" t="s">
        <v>22</v>
      </c>
    </row>
    <row r="2897" spans="1:8" hidden="1">
      <c r="A2897" s="5" t="s">
        <v>45</v>
      </c>
      <c r="H2897" s="5" t="s">
        <v>22</v>
      </c>
    </row>
    <row r="2898" spans="1:8" hidden="1">
      <c r="A2898" s="5" t="s">
        <v>46</v>
      </c>
      <c r="H2898" s="5" t="s">
        <v>22</v>
      </c>
    </row>
    <row r="2899" spans="1:8" hidden="1">
      <c r="A2899" s="5" t="s">
        <v>47</v>
      </c>
      <c r="H2899" s="5" t="s">
        <v>22</v>
      </c>
    </row>
    <row r="2900" spans="1:8" hidden="1">
      <c r="A2900" s="5" t="s">
        <v>37</v>
      </c>
      <c r="H2900" s="5" t="s">
        <v>22</v>
      </c>
    </row>
    <row r="2901" spans="1:8" hidden="1">
      <c r="A2901" s="6"/>
      <c r="H2901" s="5" t="s">
        <v>22</v>
      </c>
    </row>
    <row r="2902" spans="1:8" hidden="1">
      <c r="A2902" s="5" t="s">
        <v>268</v>
      </c>
      <c r="H2902" s="5" t="s">
        <v>22</v>
      </c>
    </row>
    <row r="2903" spans="1:8" hidden="1">
      <c r="A2903" s="5" t="s">
        <v>269</v>
      </c>
      <c r="H2903" s="5" t="s">
        <v>22</v>
      </c>
    </row>
    <row r="2904" spans="1:8" hidden="1">
      <c r="A2904" s="6"/>
      <c r="H2904" s="5" t="s">
        <v>22</v>
      </c>
    </row>
    <row r="2905" spans="1:8" hidden="1">
      <c r="A2905" s="6"/>
      <c r="H2905" s="5" t="s">
        <v>22</v>
      </c>
    </row>
    <row r="2906" spans="1:8" hidden="1">
      <c r="A2906" s="5" t="s">
        <v>3</v>
      </c>
      <c r="H2906" s="5" t="s">
        <v>22</v>
      </c>
    </row>
    <row r="2907" spans="1:8" hidden="1">
      <c r="A2907" s="5" t="s">
        <v>4</v>
      </c>
      <c r="H2907" s="5" t="s">
        <v>22</v>
      </c>
    </row>
    <row r="2908" spans="1:8" hidden="1">
      <c r="A2908" s="5" t="s">
        <v>5</v>
      </c>
      <c r="H2908" s="5" t="s">
        <v>22</v>
      </c>
    </row>
    <row r="2909" spans="1:8" hidden="1">
      <c r="A2909" s="5" t="s">
        <v>6</v>
      </c>
      <c r="H2909" s="5" t="s">
        <v>22</v>
      </c>
    </row>
    <row r="2910" spans="1:8" hidden="1">
      <c r="A2910" s="5" t="s">
        <v>7</v>
      </c>
      <c r="H2910" s="5" t="s">
        <v>22</v>
      </c>
    </row>
    <row r="2911" spans="1:8" hidden="1">
      <c r="A2911" s="5" t="s">
        <v>6</v>
      </c>
      <c r="H2911" s="5" t="s">
        <v>22</v>
      </c>
    </row>
    <row r="2912" spans="1:8" hidden="1">
      <c r="A2912" s="5" t="s">
        <v>279</v>
      </c>
      <c r="H2912" s="5" t="s">
        <v>22</v>
      </c>
    </row>
    <row r="2913" spans="1:8" hidden="1">
      <c r="A2913" s="5" t="s">
        <v>280</v>
      </c>
      <c r="H2913" s="5" t="s">
        <v>22</v>
      </c>
    </row>
    <row r="2914" spans="1:8" hidden="1">
      <c r="A2914" s="6"/>
      <c r="H2914" s="5" t="s">
        <v>22</v>
      </c>
    </row>
    <row r="2915" spans="1:8" hidden="1">
      <c r="A2915" s="5" t="s">
        <v>281</v>
      </c>
      <c r="H2915" s="5" t="s">
        <v>22</v>
      </c>
    </row>
    <row r="2916" spans="1:8" hidden="1">
      <c r="A2916" s="5" t="s">
        <v>282</v>
      </c>
      <c r="H2916" s="5" t="s">
        <v>22</v>
      </c>
    </row>
    <row r="2917" spans="1:8" hidden="1">
      <c r="A2917" s="5" t="s">
        <v>283</v>
      </c>
      <c r="H2917" s="5" t="s">
        <v>22</v>
      </c>
    </row>
    <row r="2918" spans="1:8" hidden="1">
      <c r="A2918" s="5" t="s">
        <v>119</v>
      </c>
      <c r="H2918" s="5" t="s">
        <v>22</v>
      </c>
    </row>
    <row r="2919" spans="1:8" hidden="1">
      <c r="A2919" s="5" t="s">
        <v>6</v>
      </c>
      <c r="H2919" s="5" t="s">
        <v>22</v>
      </c>
    </row>
    <row r="2920" spans="1:8" hidden="1">
      <c r="A2920" s="5" t="s">
        <v>284</v>
      </c>
      <c r="H2920" s="5" t="s">
        <v>22</v>
      </c>
    </row>
    <row r="2921" spans="1:8" hidden="1">
      <c r="A2921" s="5" t="s">
        <v>52</v>
      </c>
      <c r="H2921" s="5" t="s">
        <v>22</v>
      </c>
    </row>
    <row r="2922" spans="1:8" hidden="1">
      <c r="A2922" s="5" t="s">
        <v>285</v>
      </c>
      <c r="H2922" s="5" t="s">
        <v>22</v>
      </c>
    </row>
    <row r="2923" spans="1:8" hidden="1">
      <c r="A2923" s="6"/>
      <c r="H2923" s="5" t="s">
        <v>22</v>
      </c>
    </row>
    <row r="2924" spans="1:8" hidden="1">
      <c r="A2924" s="5" t="s">
        <v>18</v>
      </c>
      <c r="H2924" s="5" t="s">
        <v>22</v>
      </c>
    </row>
    <row r="2925" spans="1:8" hidden="1">
      <c r="A2925" s="7">
        <v>30000</v>
      </c>
      <c r="H2925" s="5" t="s">
        <v>22</v>
      </c>
    </row>
    <row r="2926" spans="1:8" hidden="1">
      <c r="A2926" s="6"/>
      <c r="H2926" s="5" t="s">
        <v>22</v>
      </c>
    </row>
    <row r="2927" spans="1:8" hidden="1">
      <c r="A2927" s="5" t="s">
        <v>19</v>
      </c>
      <c r="H2927" s="5" t="s">
        <v>22</v>
      </c>
    </row>
    <row r="2928" spans="1:8" hidden="1">
      <c r="A2928" s="5" t="s">
        <v>20</v>
      </c>
      <c r="H2928" s="5" t="s">
        <v>20</v>
      </c>
    </row>
    <row r="2929" spans="1:8" hidden="1">
      <c r="A2929" s="5" t="s">
        <v>21</v>
      </c>
      <c r="H2929" s="5" t="s">
        <v>20</v>
      </c>
    </row>
    <row r="2930" spans="1:8" hidden="1">
      <c r="A2930" s="5" t="s">
        <v>22</v>
      </c>
      <c r="H2930" s="5" t="s">
        <v>20</v>
      </c>
    </row>
    <row r="2931" spans="1:8" hidden="1">
      <c r="A2931" s="5" t="s">
        <v>23</v>
      </c>
      <c r="H2931" s="5" t="s">
        <v>20</v>
      </c>
    </row>
    <row r="2932" spans="1:8" hidden="1">
      <c r="A2932" s="5" t="s">
        <v>24</v>
      </c>
      <c r="H2932" s="5" t="s">
        <v>20</v>
      </c>
    </row>
    <row r="2933" spans="1:8" hidden="1">
      <c r="A2933" s="5" t="s">
        <v>25</v>
      </c>
      <c r="H2933" s="5" t="s">
        <v>20</v>
      </c>
    </row>
    <row r="2934" spans="1:8" hidden="1">
      <c r="A2934" s="5" t="s">
        <v>26</v>
      </c>
      <c r="H2934" s="5" t="s">
        <v>20</v>
      </c>
    </row>
    <row r="2935" spans="1:8" hidden="1">
      <c r="A2935" s="5" t="s">
        <v>27</v>
      </c>
      <c r="H2935" s="5" t="s">
        <v>20</v>
      </c>
    </row>
    <row r="2936" spans="1:8" hidden="1">
      <c r="A2936" s="5" t="s">
        <v>6</v>
      </c>
      <c r="H2936" s="5" t="s">
        <v>20</v>
      </c>
    </row>
    <row r="2937" spans="1:8" hidden="1">
      <c r="A2937" s="5" t="s">
        <v>28</v>
      </c>
      <c r="H2937" s="5" t="s">
        <v>20</v>
      </c>
    </row>
    <row r="2938" spans="1:8" hidden="1">
      <c r="A2938" s="5" t="s">
        <v>29</v>
      </c>
      <c r="H2938" s="5" t="s">
        <v>20</v>
      </c>
    </row>
    <row r="2939" spans="1:8" hidden="1">
      <c r="A2939" s="6"/>
      <c r="H2939" s="5" t="s">
        <v>20</v>
      </c>
    </row>
    <row r="2940" spans="1:8" hidden="1">
      <c r="A2940" s="6"/>
      <c r="H2940" s="5" t="s">
        <v>20</v>
      </c>
    </row>
    <row r="2941" spans="1:8" hidden="1">
      <c r="A2941" s="5" t="s">
        <v>6</v>
      </c>
      <c r="H2941" s="5" t="s">
        <v>20</v>
      </c>
    </row>
    <row r="2942" spans="1:8" hidden="1">
      <c r="A2942" s="5" t="s">
        <v>30</v>
      </c>
      <c r="H2942" s="5" t="s">
        <v>20</v>
      </c>
    </row>
    <row r="2943" spans="1:8" hidden="1">
      <c r="A2943" s="6"/>
      <c r="H2943" s="5" t="s">
        <v>20</v>
      </c>
    </row>
    <row r="2944" spans="1:8" hidden="1">
      <c r="A2944" s="5" t="s">
        <v>31</v>
      </c>
      <c r="H2944" s="5" t="s">
        <v>20</v>
      </c>
    </row>
    <row r="2945" spans="1:8" hidden="1">
      <c r="A2945" s="5" t="s">
        <v>32</v>
      </c>
      <c r="H2945" s="5" t="s">
        <v>20</v>
      </c>
    </row>
    <row r="2946" spans="1:8" hidden="1">
      <c r="A2946" s="5" t="s">
        <v>33</v>
      </c>
      <c r="H2946" s="5" t="s">
        <v>20</v>
      </c>
    </row>
    <row r="2947" spans="1:8" hidden="1">
      <c r="A2947" s="5" t="s">
        <v>34</v>
      </c>
      <c r="H2947" s="5" t="s">
        <v>20</v>
      </c>
    </row>
    <row r="2948" spans="1:8" hidden="1">
      <c r="A2948" s="5" t="s">
        <v>35</v>
      </c>
      <c r="H2948" s="5" t="s">
        <v>20</v>
      </c>
    </row>
    <row r="2949" spans="1:8" hidden="1">
      <c r="A2949" s="5" t="s">
        <v>36</v>
      </c>
      <c r="H2949" s="5" t="s">
        <v>20</v>
      </c>
    </row>
    <row r="2950" spans="1:8" hidden="1">
      <c r="A2950" s="5" t="s">
        <v>37</v>
      </c>
      <c r="H2950" s="5" t="s">
        <v>20</v>
      </c>
    </row>
    <row r="2951" spans="1:8" hidden="1">
      <c r="A2951" s="5" t="s">
        <v>38</v>
      </c>
      <c r="H2951" s="5" t="s">
        <v>20</v>
      </c>
    </row>
    <row r="2952" spans="1:8" hidden="1">
      <c r="A2952" s="5" t="s">
        <v>39</v>
      </c>
      <c r="H2952" s="5" t="s">
        <v>20</v>
      </c>
    </row>
    <row r="2953" spans="1:8" hidden="1">
      <c r="A2953" s="6"/>
      <c r="H2953" s="5" t="s">
        <v>20</v>
      </c>
    </row>
    <row r="2954" spans="1:8" hidden="1">
      <c r="A2954" s="5" t="s">
        <v>279</v>
      </c>
      <c r="H2954" s="5" t="s">
        <v>20</v>
      </c>
    </row>
    <row r="2955" spans="1:8" hidden="1">
      <c r="A2955" s="5" t="s">
        <v>280</v>
      </c>
      <c r="H2955" s="5" t="s">
        <v>20</v>
      </c>
    </row>
    <row r="2956" spans="1:8" hidden="1">
      <c r="A2956" s="6"/>
      <c r="H2956" s="5" t="s">
        <v>20</v>
      </c>
    </row>
    <row r="2957" spans="1:8" hidden="1">
      <c r="A2957" s="6"/>
      <c r="H2957" s="5" t="s">
        <v>20</v>
      </c>
    </row>
    <row r="2958" spans="1:8" hidden="1">
      <c r="A2958" s="6"/>
      <c r="H2958" s="5" t="s">
        <v>20</v>
      </c>
    </row>
    <row r="2959" spans="1:8" hidden="1">
      <c r="A2959" s="6"/>
      <c r="H2959" s="5" t="s">
        <v>20</v>
      </c>
    </row>
    <row r="2960" spans="1:8" hidden="1">
      <c r="A2960" s="5" t="s">
        <v>6</v>
      </c>
      <c r="H2960" s="5" t="s">
        <v>20</v>
      </c>
    </row>
    <row r="2961" spans="1:8" hidden="1">
      <c r="A2961" s="5" t="s">
        <v>40</v>
      </c>
      <c r="H2961" s="5" t="s">
        <v>20</v>
      </c>
    </row>
    <row r="2962" spans="1:8" hidden="1">
      <c r="A2962" s="6"/>
      <c r="H2962" s="5" t="s">
        <v>20</v>
      </c>
    </row>
    <row r="2963" spans="1:8" hidden="1">
      <c r="A2963" s="5" t="s">
        <v>41</v>
      </c>
      <c r="H2963" s="5" t="s">
        <v>20</v>
      </c>
    </row>
    <row r="2964" spans="1:8" hidden="1">
      <c r="A2964" s="6"/>
      <c r="H2964" s="5" t="s">
        <v>20</v>
      </c>
    </row>
    <row r="2965" spans="1:8" hidden="1">
      <c r="A2965" s="5" t="s">
        <v>42</v>
      </c>
      <c r="H2965" s="5" t="s">
        <v>20</v>
      </c>
    </row>
    <row r="2966" spans="1:8" hidden="1">
      <c r="A2966" s="6"/>
      <c r="H2966" s="5" t="s">
        <v>20</v>
      </c>
    </row>
    <row r="2967" spans="1:8" hidden="1">
      <c r="A2967" s="5" t="s">
        <v>43</v>
      </c>
      <c r="H2967" s="5" t="s">
        <v>20</v>
      </c>
    </row>
    <row r="2968" spans="1:8" hidden="1">
      <c r="A2968" s="5" t="s">
        <v>44</v>
      </c>
      <c r="H2968" s="5" t="s">
        <v>20</v>
      </c>
    </row>
    <row r="2969" spans="1:8" hidden="1">
      <c r="A2969" s="5" t="s">
        <v>45</v>
      </c>
      <c r="H2969" s="5" t="s">
        <v>20</v>
      </c>
    </row>
    <row r="2970" spans="1:8" hidden="1">
      <c r="A2970" s="5" t="s">
        <v>46</v>
      </c>
      <c r="H2970" s="5" t="s">
        <v>20</v>
      </c>
    </row>
    <row r="2971" spans="1:8" hidden="1">
      <c r="A2971" s="5" t="s">
        <v>47</v>
      </c>
      <c r="H2971" s="5" t="s">
        <v>20</v>
      </c>
    </row>
    <row r="2972" spans="1:8" hidden="1">
      <c r="A2972" s="5" t="s">
        <v>37</v>
      </c>
      <c r="H2972" s="5" t="s">
        <v>20</v>
      </c>
    </row>
    <row r="2973" spans="1:8" hidden="1">
      <c r="A2973" s="6"/>
      <c r="H2973" s="5" t="s">
        <v>20</v>
      </c>
    </row>
    <row r="2974" spans="1:8" hidden="1">
      <c r="A2974" s="5" t="s">
        <v>279</v>
      </c>
      <c r="H2974" s="5" t="s">
        <v>20</v>
      </c>
    </row>
    <row r="2975" spans="1:8" hidden="1">
      <c r="A2975" s="5" t="s">
        <v>280</v>
      </c>
      <c r="H2975" s="5" t="s">
        <v>20</v>
      </c>
    </row>
    <row r="2976" spans="1:8" hidden="1">
      <c r="A2976" s="6"/>
      <c r="H2976" s="5" t="s">
        <v>20</v>
      </c>
    </row>
    <row r="2977" spans="1:8" hidden="1">
      <c r="A2977" s="6"/>
      <c r="H2977" s="5" t="s">
        <v>20</v>
      </c>
    </row>
    <row r="2978" spans="1:8" hidden="1">
      <c r="A2978" s="5" t="s">
        <v>3</v>
      </c>
      <c r="H2978" s="5" t="s">
        <v>20</v>
      </c>
    </row>
    <row r="2979" spans="1:8" hidden="1">
      <c r="A2979" s="5" t="s">
        <v>4</v>
      </c>
      <c r="H2979" s="5" t="s">
        <v>20</v>
      </c>
    </row>
    <row r="2980" spans="1:8" hidden="1">
      <c r="A2980" s="5" t="s">
        <v>5</v>
      </c>
      <c r="H2980" s="5" t="s">
        <v>20</v>
      </c>
    </row>
    <row r="2981" spans="1:8" hidden="1">
      <c r="A2981" s="5" t="s">
        <v>6</v>
      </c>
      <c r="H2981" s="5" t="s">
        <v>20</v>
      </c>
    </row>
    <row r="2982" spans="1:8" hidden="1">
      <c r="A2982" s="5" t="s">
        <v>7</v>
      </c>
      <c r="H2982" s="5" t="s">
        <v>20</v>
      </c>
    </row>
    <row r="2983" spans="1:8" hidden="1">
      <c r="A2983" s="5" t="s">
        <v>6</v>
      </c>
      <c r="H2983" s="5" t="s">
        <v>20</v>
      </c>
    </row>
    <row r="2984" spans="1:8" hidden="1">
      <c r="A2984" s="5" t="s">
        <v>286</v>
      </c>
      <c r="H2984" s="5" t="s">
        <v>20</v>
      </c>
    </row>
    <row r="2985" spans="1:8" hidden="1">
      <c r="A2985" s="5" t="s">
        <v>287</v>
      </c>
      <c r="H2985" s="5" t="s">
        <v>20</v>
      </c>
    </row>
    <row r="2986" spans="1:8" hidden="1">
      <c r="A2986" s="6"/>
      <c r="H2986" s="5" t="s">
        <v>20</v>
      </c>
    </row>
    <row r="2987" spans="1:8" hidden="1">
      <c r="A2987" s="5" t="s">
        <v>109</v>
      </c>
      <c r="H2987" s="5" t="s">
        <v>20</v>
      </c>
    </row>
    <row r="2988" spans="1:8" hidden="1">
      <c r="A2988" s="5" t="s">
        <v>103</v>
      </c>
      <c r="H2988" s="5" t="s">
        <v>20</v>
      </c>
    </row>
    <row r="2989" spans="1:8" hidden="1">
      <c r="A2989" s="5" t="s">
        <v>6</v>
      </c>
      <c r="H2989" s="5" t="s">
        <v>20</v>
      </c>
    </row>
    <row r="2990" spans="1:8" hidden="1">
      <c r="A2990" s="5" t="s">
        <v>110</v>
      </c>
      <c r="H2990" s="5" t="s">
        <v>20</v>
      </c>
    </row>
    <row r="2991" spans="1:8" hidden="1">
      <c r="A2991" s="5" t="s">
        <v>17</v>
      </c>
      <c r="H2991" s="5" t="s">
        <v>20</v>
      </c>
    </row>
    <row r="2992" spans="1:8" hidden="1">
      <c r="A2992" s="5" t="s">
        <v>111</v>
      </c>
      <c r="H2992" s="5" t="s">
        <v>20</v>
      </c>
    </row>
    <row r="2993" spans="1:8" hidden="1">
      <c r="A2993" s="6"/>
      <c r="H2993" s="5" t="s">
        <v>220</v>
      </c>
    </row>
    <row r="2994" spans="1:8" hidden="1">
      <c r="A2994" s="5" t="s">
        <v>19</v>
      </c>
      <c r="H2994" s="5" t="s">
        <v>322</v>
      </c>
    </row>
    <row r="2995" spans="1:8" hidden="1">
      <c r="A2995" s="5" t="s">
        <v>20</v>
      </c>
      <c r="H2995" s="5" t="s">
        <v>322</v>
      </c>
    </row>
    <row r="2996" spans="1:8" hidden="1">
      <c r="A2996" s="5" t="s">
        <v>21</v>
      </c>
      <c r="H2996" s="5" t="s">
        <v>384</v>
      </c>
    </row>
    <row r="2997" spans="1:8" hidden="1">
      <c r="A2997" s="5" t="s">
        <v>22</v>
      </c>
      <c r="H2997" s="5" t="s">
        <v>385</v>
      </c>
    </row>
    <row r="2998" spans="1:8" hidden="1">
      <c r="A2998" s="5" t="s">
        <v>23</v>
      </c>
      <c r="H2998" s="5" t="s">
        <v>399</v>
      </c>
    </row>
    <row r="2999" spans="1:8" hidden="1">
      <c r="A2999" s="5" t="s">
        <v>24</v>
      </c>
      <c r="H2999" s="5" t="s">
        <v>54</v>
      </c>
    </row>
    <row r="3000" spans="1:8" hidden="1">
      <c r="A3000" s="5" t="s">
        <v>25</v>
      </c>
      <c r="H3000" s="5" t="s">
        <v>391</v>
      </c>
    </row>
    <row r="3001" spans="1:8" hidden="1">
      <c r="A3001" s="5" t="s">
        <v>26</v>
      </c>
      <c r="H3001" s="5" t="s">
        <v>218</v>
      </c>
    </row>
    <row r="3002" spans="1:8" hidden="1">
      <c r="A3002" s="5" t="s">
        <v>27</v>
      </c>
      <c r="H3002" s="5" t="s">
        <v>218</v>
      </c>
    </row>
    <row r="3003" spans="1:8" hidden="1">
      <c r="A3003" s="5" t="s">
        <v>6</v>
      </c>
      <c r="H3003" s="5" t="s">
        <v>336</v>
      </c>
    </row>
    <row r="3004" spans="1:8" hidden="1">
      <c r="A3004" s="5" t="s">
        <v>28</v>
      </c>
      <c r="H3004" s="5" t="s">
        <v>367</v>
      </c>
    </row>
    <row r="3005" spans="1:8" hidden="1">
      <c r="A3005" s="5" t="s">
        <v>29</v>
      </c>
      <c r="H3005" s="5" t="s">
        <v>238</v>
      </c>
    </row>
    <row r="3006" spans="1:8" hidden="1">
      <c r="A3006" s="6"/>
      <c r="H3006" s="5" t="s">
        <v>352</v>
      </c>
    </row>
    <row r="3007" spans="1:8" hidden="1">
      <c r="A3007" s="6"/>
      <c r="H3007" s="5" t="s">
        <v>114</v>
      </c>
    </row>
    <row r="3008" spans="1:8" hidden="1">
      <c r="A3008" s="5" t="s">
        <v>6</v>
      </c>
      <c r="H3008" s="5" t="s">
        <v>300</v>
      </c>
    </row>
    <row r="3009" spans="1:8" hidden="1">
      <c r="A3009" s="5" t="s">
        <v>30</v>
      </c>
      <c r="H3009" s="5" t="s">
        <v>41</v>
      </c>
    </row>
    <row r="3010" spans="1:8" hidden="1">
      <c r="A3010" s="6"/>
      <c r="H3010" s="5" t="s">
        <v>41</v>
      </c>
    </row>
    <row r="3011" spans="1:8" hidden="1">
      <c r="A3011" s="5" t="s">
        <v>31</v>
      </c>
      <c r="H3011" s="5" t="s">
        <v>41</v>
      </c>
    </row>
    <row r="3012" spans="1:8" hidden="1">
      <c r="A3012" s="5" t="s">
        <v>32</v>
      </c>
      <c r="H3012" s="5" t="s">
        <v>41</v>
      </c>
    </row>
    <row r="3013" spans="1:8" hidden="1">
      <c r="A3013" s="5" t="s">
        <v>33</v>
      </c>
      <c r="H3013" s="5" t="s">
        <v>41</v>
      </c>
    </row>
    <row r="3014" spans="1:8" hidden="1">
      <c r="A3014" s="5" t="s">
        <v>34</v>
      </c>
      <c r="H3014" s="5" t="s">
        <v>41</v>
      </c>
    </row>
    <row r="3015" spans="1:8" hidden="1">
      <c r="A3015" s="5" t="s">
        <v>35</v>
      </c>
      <c r="H3015" s="5" t="s">
        <v>41</v>
      </c>
    </row>
    <row r="3016" spans="1:8" hidden="1">
      <c r="A3016" s="5" t="s">
        <v>36</v>
      </c>
      <c r="H3016" s="5" t="s">
        <v>41</v>
      </c>
    </row>
    <row r="3017" spans="1:8" hidden="1">
      <c r="A3017" s="5" t="s">
        <v>37</v>
      </c>
      <c r="H3017" s="5" t="s">
        <v>41</v>
      </c>
    </row>
    <row r="3018" spans="1:8" hidden="1">
      <c r="A3018" s="5" t="s">
        <v>38</v>
      </c>
      <c r="H3018" s="5" t="s">
        <v>41</v>
      </c>
    </row>
    <row r="3019" spans="1:8" hidden="1">
      <c r="A3019" s="5" t="s">
        <v>39</v>
      </c>
      <c r="H3019" s="5" t="s">
        <v>41</v>
      </c>
    </row>
    <row r="3020" spans="1:8" hidden="1">
      <c r="A3020" s="6"/>
      <c r="H3020" s="5" t="s">
        <v>41</v>
      </c>
    </row>
    <row r="3021" spans="1:8" hidden="1">
      <c r="A3021" s="5" t="s">
        <v>286</v>
      </c>
      <c r="H3021" s="5" t="s">
        <v>41</v>
      </c>
    </row>
    <row r="3022" spans="1:8" hidden="1">
      <c r="A3022" s="5" t="s">
        <v>287</v>
      </c>
      <c r="H3022" s="5" t="s">
        <v>41</v>
      </c>
    </row>
    <row r="3023" spans="1:8" hidden="1">
      <c r="A3023" s="6"/>
      <c r="H3023" s="5" t="s">
        <v>41</v>
      </c>
    </row>
    <row r="3024" spans="1:8" hidden="1">
      <c r="A3024" s="6"/>
      <c r="H3024" s="5" t="s">
        <v>41</v>
      </c>
    </row>
    <row r="3025" spans="1:8" hidden="1">
      <c r="A3025" s="5" t="s">
        <v>3</v>
      </c>
      <c r="H3025" s="5" t="s">
        <v>41</v>
      </c>
    </row>
    <row r="3026" spans="1:8" hidden="1">
      <c r="A3026" s="5" t="s">
        <v>4</v>
      </c>
      <c r="H3026" s="5" t="s">
        <v>41</v>
      </c>
    </row>
    <row r="3027" spans="1:8" hidden="1">
      <c r="A3027" s="5" t="s">
        <v>5</v>
      </c>
      <c r="H3027" s="5" t="s">
        <v>41</v>
      </c>
    </row>
    <row r="3028" spans="1:8" hidden="1">
      <c r="A3028" s="5" t="s">
        <v>6</v>
      </c>
      <c r="H3028" s="5" t="s">
        <v>41</v>
      </c>
    </row>
    <row r="3029" spans="1:8" hidden="1">
      <c r="A3029" s="5" t="s">
        <v>7</v>
      </c>
      <c r="H3029" s="5" t="s">
        <v>41</v>
      </c>
    </row>
    <row r="3030" spans="1:8" hidden="1">
      <c r="A3030" s="5" t="s">
        <v>6</v>
      </c>
      <c r="H3030" s="5" t="s">
        <v>41</v>
      </c>
    </row>
    <row r="3031" spans="1:8" hidden="1">
      <c r="A3031" s="5" t="s">
        <v>288</v>
      </c>
      <c r="H3031" s="5" t="s">
        <v>41</v>
      </c>
    </row>
    <row r="3032" spans="1:8" hidden="1">
      <c r="A3032" s="5" t="s">
        <v>289</v>
      </c>
      <c r="H3032" s="5" t="s">
        <v>41</v>
      </c>
    </row>
    <row r="3033" spans="1:8" hidden="1">
      <c r="A3033" s="6"/>
      <c r="H3033" s="5" t="s">
        <v>41</v>
      </c>
    </row>
    <row r="3034" spans="1:8" hidden="1">
      <c r="A3034" s="5" t="s">
        <v>290</v>
      </c>
      <c r="H3034" s="5" t="s">
        <v>41</v>
      </c>
    </row>
    <row r="3035" spans="1:8" hidden="1">
      <c r="A3035" s="5" t="s">
        <v>162</v>
      </c>
      <c r="H3035" s="5" t="s">
        <v>41</v>
      </c>
    </row>
    <row r="3036" spans="1:8" hidden="1">
      <c r="A3036" s="5" t="s">
        <v>291</v>
      </c>
      <c r="H3036" s="5" t="s">
        <v>41</v>
      </c>
    </row>
    <row r="3037" spans="1:8" hidden="1">
      <c r="A3037" s="5" t="s">
        <v>164</v>
      </c>
      <c r="H3037" s="5" t="s">
        <v>41</v>
      </c>
    </row>
    <row r="3038" spans="1:8" hidden="1">
      <c r="A3038" s="5" t="s">
        <v>292</v>
      </c>
      <c r="H3038" s="5" t="s">
        <v>41</v>
      </c>
    </row>
    <row r="3039" spans="1:8" hidden="1">
      <c r="A3039" s="5" t="s">
        <v>293</v>
      </c>
      <c r="H3039" s="5" t="s">
        <v>41</v>
      </c>
    </row>
    <row r="3040" spans="1:8" hidden="1">
      <c r="A3040" s="5" t="s">
        <v>294</v>
      </c>
      <c r="H3040" s="5" t="s">
        <v>41</v>
      </c>
    </row>
    <row r="3041" spans="1:8" hidden="1">
      <c r="A3041" s="5" t="s">
        <v>295</v>
      </c>
      <c r="H3041" s="5" t="s">
        <v>41</v>
      </c>
    </row>
    <row r="3042" spans="1:8" hidden="1">
      <c r="A3042" s="5" t="s">
        <v>103</v>
      </c>
      <c r="H3042" s="5" t="s">
        <v>41</v>
      </c>
    </row>
    <row r="3043" spans="1:8" hidden="1">
      <c r="A3043" s="5" t="s">
        <v>165</v>
      </c>
      <c r="H3043" s="5" t="s">
        <v>41</v>
      </c>
    </row>
    <row r="3044" spans="1:8" hidden="1">
      <c r="A3044" s="5" t="s">
        <v>237</v>
      </c>
      <c r="H3044" s="5" t="s">
        <v>41</v>
      </c>
    </row>
    <row r="3045" spans="1:8" hidden="1">
      <c r="A3045" s="5" t="s">
        <v>232</v>
      </c>
      <c r="H3045" s="5" t="s">
        <v>41</v>
      </c>
    </row>
    <row r="3046" spans="1:8" hidden="1">
      <c r="A3046" s="5" t="s">
        <v>233</v>
      </c>
      <c r="H3046" s="5" t="s">
        <v>41</v>
      </c>
    </row>
    <row r="3047" spans="1:8" hidden="1">
      <c r="A3047" s="5" t="s">
        <v>6</v>
      </c>
      <c r="H3047" s="5" t="s">
        <v>41</v>
      </c>
    </row>
    <row r="3048" spans="1:8" hidden="1">
      <c r="A3048" s="5" t="s">
        <v>296</v>
      </c>
      <c r="H3048" s="5" t="s">
        <v>41</v>
      </c>
    </row>
    <row r="3049" spans="1:8" hidden="1">
      <c r="A3049" s="5" t="s">
        <v>297</v>
      </c>
      <c r="H3049" s="5" t="s">
        <v>41</v>
      </c>
    </row>
    <row r="3050" spans="1:8" hidden="1">
      <c r="A3050" s="5" t="s">
        <v>298</v>
      </c>
      <c r="H3050" s="5" t="s">
        <v>41</v>
      </c>
    </row>
    <row r="3051" spans="1:8" hidden="1">
      <c r="A3051" s="5" t="s">
        <v>218</v>
      </c>
      <c r="H3051" s="5" t="s">
        <v>41</v>
      </c>
    </row>
    <row r="3052" spans="1:8" hidden="1">
      <c r="A3052" s="6"/>
      <c r="H3052" s="5" t="s">
        <v>41</v>
      </c>
    </row>
    <row r="3053" spans="1:8" hidden="1">
      <c r="A3053" s="5" t="s">
        <v>18</v>
      </c>
      <c r="H3053" s="5" t="s">
        <v>41</v>
      </c>
    </row>
    <row r="3054" spans="1:8" hidden="1">
      <c r="A3054" s="7">
        <v>525240</v>
      </c>
      <c r="H3054" s="5" t="s">
        <v>41</v>
      </c>
    </row>
    <row r="3055" spans="1:8" hidden="1">
      <c r="A3055" s="6"/>
      <c r="H3055" s="5" t="s">
        <v>41</v>
      </c>
    </row>
    <row r="3056" spans="1:8" hidden="1">
      <c r="A3056" s="5" t="s">
        <v>19</v>
      </c>
      <c r="H3056" s="5" t="s">
        <v>321</v>
      </c>
    </row>
    <row r="3057" spans="1:8" hidden="1">
      <c r="A3057" s="5" t="s">
        <v>20</v>
      </c>
      <c r="H3057" s="5" t="s">
        <v>321</v>
      </c>
    </row>
    <row r="3058" spans="1:8" hidden="1">
      <c r="A3058" s="5" t="s">
        <v>21</v>
      </c>
      <c r="H3058" s="5" t="s">
        <v>325</v>
      </c>
    </row>
    <row r="3059" spans="1:8" hidden="1">
      <c r="A3059" s="5" t="s">
        <v>22</v>
      </c>
      <c r="H3059" s="5" t="s">
        <v>386</v>
      </c>
    </row>
    <row r="3060" spans="1:8" hidden="1">
      <c r="A3060" s="5" t="s">
        <v>23</v>
      </c>
      <c r="H3060" s="5" t="s">
        <v>10</v>
      </c>
    </row>
    <row r="3061" spans="1:8" hidden="1">
      <c r="A3061" s="5" t="s">
        <v>24</v>
      </c>
      <c r="H3061" s="5" t="s">
        <v>10</v>
      </c>
    </row>
    <row r="3062" spans="1:8" hidden="1">
      <c r="A3062" s="5" t="s">
        <v>25</v>
      </c>
      <c r="H3062" s="5" t="s">
        <v>10</v>
      </c>
    </row>
    <row r="3063" spans="1:8" hidden="1">
      <c r="A3063" s="5" t="s">
        <v>26</v>
      </c>
      <c r="H3063" s="5" t="s">
        <v>48</v>
      </c>
    </row>
    <row r="3064" spans="1:8" hidden="1">
      <c r="A3064" s="5" t="s">
        <v>27</v>
      </c>
      <c r="H3064" s="5" t="s">
        <v>48</v>
      </c>
    </row>
    <row r="3065" spans="1:8" hidden="1">
      <c r="A3065" s="5" t="s">
        <v>6</v>
      </c>
      <c r="H3065" s="5" t="s">
        <v>48</v>
      </c>
    </row>
    <row r="3066" spans="1:8" hidden="1">
      <c r="A3066" s="5" t="s">
        <v>28</v>
      </c>
      <c r="H3066" s="5" t="s">
        <v>55</v>
      </c>
    </row>
    <row r="3067" spans="1:8" hidden="1">
      <c r="A3067" s="5" t="s">
        <v>29</v>
      </c>
      <c r="H3067" s="5" t="s">
        <v>55</v>
      </c>
    </row>
    <row r="3068" spans="1:8" hidden="1">
      <c r="A3068" s="6"/>
      <c r="H3068" s="5" t="s">
        <v>55</v>
      </c>
    </row>
    <row r="3069" spans="1:8" hidden="1">
      <c r="A3069" s="6"/>
      <c r="H3069" s="5" t="s">
        <v>65</v>
      </c>
    </row>
    <row r="3070" spans="1:8" hidden="1">
      <c r="A3070" s="5" t="s">
        <v>6</v>
      </c>
      <c r="H3070" s="5" t="s">
        <v>65</v>
      </c>
    </row>
    <row r="3071" spans="1:8" hidden="1">
      <c r="A3071" s="5" t="s">
        <v>30</v>
      </c>
      <c r="H3071" s="5" t="s">
        <v>65</v>
      </c>
    </row>
    <row r="3072" spans="1:8" hidden="1">
      <c r="A3072" s="6"/>
      <c r="H3072" s="5" t="s">
        <v>75</v>
      </c>
    </row>
    <row r="3073" spans="1:8" hidden="1">
      <c r="A3073" s="5" t="s">
        <v>31</v>
      </c>
      <c r="H3073" s="5" t="s">
        <v>75</v>
      </c>
    </row>
    <row r="3074" spans="1:8" hidden="1">
      <c r="A3074" s="5" t="s">
        <v>32</v>
      </c>
      <c r="H3074" s="5" t="s">
        <v>75</v>
      </c>
    </row>
    <row r="3075" spans="1:8" hidden="1">
      <c r="A3075" s="5" t="s">
        <v>33</v>
      </c>
      <c r="H3075" s="5" t="s">
        <v>80</v>
      </c>
    </row>
    <row r="3076" spans="1:8" hidden="1">
      <c r="A3076" s="5" t="s">
        <v>34</v>
      </c>
      <c r="H3076" s="5" t="s">
        <v>80</v>
      </c>
    </row>
    <row r="3077" spans="1:8" hidden="1">
      <c r="A3077" s="5" t="s">
        <v>35</v>
      </c>
      <c r="H3077" s="5" t="s">
        <v>85</v>
      </c>
    </row>
    <row r="3078" spans="1:8" hidden="1">
      <c r="A3078" s="5" t="s">
        <v>36</v>
      </c>
      <c r="H3078" s="5" t="s">
        <v>85</v>
      </c>
    </row>
    <row r="3079" spans="1:8" hidden="1">
      <c r="A3079" s="5" t="s">
        <v>37</v>
      </c>
      <c r="H3079" s="5" t="s">
        <v>85</v>
      </c>
    </row>
    <row r="3080" spans="1:8" hidden="1">
      <c r="A3080" s="5" t="s">
        <v>38</v>
      </c>
      <c r="H3080" s="5" t="s">
        <v>93</v>
      </c>
    </row>
    <row r="3081" spans="1:8" hidden="1">
      <c r="A3081" s="5" t="s">
        <v>39</v>
      </c>
      <c r="H3081" s="5" t="s">
        <v>93</v>
      </c>
    </row>
    <row r="3082" spans="1:8" hidden="1">
      <c r="A3082" s="6"/>
      <c r="H3082" s="5" t="s">
        <v>98</v>
      </c>
    </row>
    <row r="3083" spans="1:8" hidden="1">
      <c r="A3083" s="5" t="s">
        <v>288</v>
      </c>
      <c r="H3083" s="5" t="s">
        <v>98</v>
      </c>
    </row>
    <row r="3084" spans="1:8" hidden="1">
      <c r="A3084" s="5" t="s">
        <v>289</v>
      </c>
      <c r="H3084" s="5" t="s">
        <v>98</v>
      </c>
    </row>
    <row r="3085" spans="1:8" hidden="1">
      <c r="A3085" s="6"/>
      <c r="H3085" s="5" t="s">
        <v>101</v>
      </c>
    </row>
    <row r="3086" spans="1:8" hidden="1">
      <c r="A3086" s="6"/>
      <c r="H3086" s="5" t="s">
        <v>101</v>
      </c>
    </row>
    <row r="3087" spans="1:8" hidden="1">
      <c r="A3087" s="6"/>
      <c r="H3087" s="5" t="s">
        <v>104</v>
      </c>
    </row>
    <row r="3088" spans="1:8" hidden="1">
      <c r="A3088" s="6"/>
      <c r="H3088" s="5" t="s">
        <v>104</v>
      </c>
    </row>
    <row r="3089" spans="1:8" hidden="1">
      <c r="A3089" s="5" t="s">
        <v>6</v>
      </c>
      <c r="H3089" s="5" t="s">
        <v>104</v>
      </c>
    </row>
    <row r="3090" spans="1:8" hidden="1">
      <c r="A3090" s="5" t="s">
        <v>40</v>
      </c>
      <c r="H3090" s="5" t="s">
        <v>107</v>
      </c>
    </row>
    <row r="3091" spans="1:8" hidden="1">
      <c r="A3091" s="6"/>
      <c r="H3091" s="5" t="s">
        <v>107</v>
      </c>
    </row>
    <row r="3092" spans="1:8" hidden="1">
      <c r="A3092" s="5" t="s">
        <v>41</v>
      </c>
      <c r="H3092" s="5" t="s">
        <v>112</v>
      </c>
    </row>
    <row r="3093" spans="1:8" hidden="1">
      <c r="A3093" s="6"/>
      <c r="H3093" s="5" t="s">
        <v>112</v>
      </c>
    </row>
    <row r="3094" spans="1:8" hidden="1">
      <c r="A3094" s="5" t="s">
        <v>42</v>
      </c>
      <c r="H3094" s="5" t="s">
        <v>112</v>
      </c>
    </row>
    <row r="3095" spans="1:8" hidden="1">
      <c r="A3095" s="6"/>
      <c r="H3095" s="5" t="s">
        <v>115</v>
      </c>
    </row>
    <row r="3096" spans="1:8" hidden="1">
      <c r="A3096" s="5" t="s">
        <v>43</v>
      </c>
      <c r="H3096" s="5" t="s">
        <v>115</v>
      </c>
    </row>
    <row r="3097" spans="1:8" hidden="1">
      <c r="A3097" s="5" t="s">
        <v>44</v>
      </c>
      <c r="H3097" s="5" t="s">
        <v>115</v>
      </c>
    </row>
    <row r="3098" spans="1:8" hidden="1">
      <c r="A3098" s="5" t="s">
        <v>45</v>
      </c>
      <c r="H3098" s="5" t="s">
        <v>117</v>
      </c>
    </row>
    <row r="3099" spans="1:8" hidden="1">
      <c r="A3099" s="5" t="s">
        <v>46</v>
      </c>
      <c r="H3099" s="5" t="s">
        <v>117</v>
      </c>
    </row>
    <row r="3100" spans="1:8" hidden="1">
      <c r="A3100" s="5" t="s">
        <v>47</v>
      </c>
      <c r="H3100" s="5" t="s">
        <v>117</v>
      </c>
    </row>
    <row r="3101" spans="1:8" hidden="1">
      <c r="A3101" s="5" t="s">
        <v>37</v>
      </c>
      <c r="H3101" s="5" t="s">
        <v>122</v>
      </c>
    </row>
    <row r="3102" spans="1:8" hidden="1">
      <c r="A3102" s="6"/>
      <c r="H3102" s="5" t="s">
        <v>122</v>
      </c>
    </row>
    <row r="3103" spans="1:8" hidden="1">
      <c r="A3103" s="5" t="s">
        <v>288</v>
      </c>
      <c r="H3103" s="5" t="s">
        <v>122</v>
      </c>
    </row>
    <row r="3104" spans="1:8" hidden="1">
      <c r="A3104" s="5" t="s">
        <v>289</v>
      </c>
      <c r="H3104" s="5" t="s">
        <v>128</v>
      </c>
    </row>
    <row r="3105" spans="1:8" hidden="1">
      <c r="A3105" s="6"/>
      <c r="H3105" s="5" t="s">
        <v>128</v>
      </c>
    </row>
    <row r="3106" spans="1:8" hidden="1">
      <c r="A3106" s="6"/>
      <c r="H3106" s="5" t="s">
        <v>128</v>
      </c>
    </row>
    <row r="3107" spans="1:8" hidden="1">
      <c r="A3107" s="5" t="s">
        <v>6</v>
      </c>
      <c r="H3107" s="5" t="s">
        <v>132</v>
      </c>
    </row>
    <row r="3108" spans="1:8" hidden="1">
      <c r="A3108" s="5" t="s">
        <v>299</v>
      </c>
      <c r="H3108" s="5" t="s">
        <v>132</v>
      </c>
    </row>
    <row r="3109" spans="1:8" hidden="1">
      <c r="A3109" s="5" t="s">
        <v>300</v>
      </c>
      <c r="H3109" s="5" t="s">
        <v>134</v>
      </c>
    </row>
    <row r="3110" spans="1:8" hidden="1">
      <c r="A3110" s="5" t="s">
        <v>301</v>
      </c>
      <c r="H3110" s="5" t="s">
        <v>134</v>
      </c>
    </row>
    <row r="3111" spans="1:8" hidden="1">
      <c r="A3111" s="5" t="s">
        <v>302</v>
      </c>
      <c r="H3111" s="5" t="s">
        <v>134</v>
      </c>
    </row>
    <row r="3112" spans="1:8" hidden="1">
      <c r="A3112" s="5" t="s">
        <v>288</v>
      </c>
      <c r="H3112" s="5" t="s">
        <v>136</v>
      </c>
    </row>
    <row r="3113" spans="1:8" hidden="1">
      <c r="A3113" s="5" t="s">
        <v>289</v>
      </c>
      <c r="H3113" s="5" t="s">
        <v>136</v>
      </c>
    </row>
    <row r="3114" spans="1:8" hidden="1">
      <c r="A3114" s="6"/>
      <c r="H3114" s="5" t="s">
        <v>136</v>
      </c>
    </row>
    <row r="3115" spans="1:8" hidden="1">
      <c r="A3115" s="5" t="s">
        <v>303</v>
      </c>
      <c r="H3115" s="5" t="s">
        <v>139</v>
      </c>
    </row>
    <row r="3116" spans="1:8" hidden="1">
      <c r="A3116" s="5" t="s">
        <v>32</v>
      </c>
      <c r="H3116" s="5" t="s">
        <v>139</v>
      </c>
    </row>
    <row r="3117" spans="1:8" hidden="1">
      <c r="A3117" s="5" t="s">
        <v>304</v>
      </c>
      <c r="H3117" s="5" t="s">
        <v>139</v>
      </c>
    </row>
    <row r="3118" spans="1:8" hidden="1">
      <c r="A3118" s="5" t="s">
        <v>305</v>
      </c>
      <c r="H3118" s="5" t="s">
        <v>149</v>
      </c>
    </row>
    <row r="3119" spans="1:8" hidden="1">
      <c r="A3119" s="5" t="s">
        <v>306</v>
      </c>
      <c r="H3119" s="5" t="s">
        <v>149</v>
      </c>
    </row>
    <row r="3120" spans="1:8" hidden="1">
      <c r="A3120" s="5" t="s">
        <v>307</v>
      </c>
      <c r="H3120" s="5" t="s">
        <v>149</v>
      </c>
    </row>
    <row r="3121" spans="1:8" hidden="1">
      <c r="A3121" s="5" t="s">
        <v>308</v>
      </c>
      <c r="H3121" s="5" t="s">
        <v>155</v>
      </c>
    </row>
    <row r="3122" spans="1:8" hidden="1">
      <c r="A3122" s="5" t="s">
        <v>309</v>
      </c>
      <c r="H3122" s="5" t="s">
        <v>155</v>
      </c>
    </row>
    <row r="3123" spans="1:8" hidden="1">
      <c r="A3123" s="5" t="s">
        <v>37</v>
      </c>
      <c r="H3123" s="5" t="s">
        <v>155</v>
      </c>
    </row>
    <row r="3124" spans="1:8" hidden="1">
      <c r="A3124" s="5" t="s">
        <v>3</v>
      </c>
      <c r="H3124" s="5" t="s">
        <v>169</v>
      </c>
    </row>
    <row r="3125" spans="1:8" hidden="1">
      <c r="A3125" s="5" t="s">
        <v>4</v>
      </c>
      <c r="H3125" s="5" t="s">
        <v>169</v>
      </c>
    </row>
    <row r="3126" spans="1:8" hidden="1">
      <c r="A3126" s="5" t="s">
        <v>5</v>
      </c>
      <c r="H3126" s="5" t="s">
        <v>177</v>
      </c>
    </row>
    <row r="3127" spans="1:8" hidden="1">
      <c r="A3127" s="5" t="s">
        <v>6</v>
      </c>
      <c r="H3127" s="5" t="s">
        <v>177</v>
      </c>
    </row>
    <row r="3128" spans="1:8" hidden="1">
      <c r="A3128" s="5" t="s">
        <v>7</v>
      </c>
      <c r="H3128" s="5" t="s">
        <v>177</v>
      </c>
    </row>
    <row r="3129" spans="1:8" hidden="1">
      <c r="A3129" s="5" t="s">
        <v>6</v>
      </c>
      <c r="H3129" s="5" t="s">
        <v>184</v>
      </c>
    </row>
    <row r="3130" spans="1:8" hidden="1">
      <c r="A3130" s="5" t="s">
        <v>310</v>
      </c>
      <c r="H3130" s="5" t="s">
        <v>184</v>
      </c>
    </row>
    <row r="3131" spans="1:8" hidden="1">
      <c r="A3131" s="5" t="s">
        <v>311</v>
      </c>
      <c r="H3131" s="5" t="s">
        <v>184</v>
      </c>
    </row>
    <row r="3132" spans="1:8" hidden="1">
      <c r="A3132" s="6"/>
      <c r="H3132" s="5" t="s">
        <v>186</v>
      </c>
    </row>
    <row r="3133" spans="1:8" hidden="1">
      <c r="A3133" s="5" t="s">
        <v>106</v>
      </c>
      <c r="H3133" s="5" t="s">
        <v>186</v>
      </c>
    </row>
    <row r="3134" spans="1:8" hidden="1">
      <c r="A3134" s="5" t="s">
        <v>103</v>
      </c>
      <c r="H3134" s="5" t="s">
        <v>186</v>
      </c>
    </row>
    <row r="3135" spans="1:8" hidden="1">
      <c r="A3135" s="5" t="s">
        <v>6</v>
      </c>
      <c r="H3135" s="5" t="s">
        <v>189</v>
      </c>
    </row>
    <row r="3136" spans="1:8" hidden="1">
      <c r="A3136" s="5" t="s">
        <v>91</v>
      </c>
      <c r="H3136" s="5" t="s">
        <v>189</v>
      </c>
    </row>
    <row r="3137" spans="1:8" hidden="1">
      <c r="A3137" s="5" t="s">
        <v>63</v>
      </c>
      <c r="H3137" s="5" t="s">
        <v>189</v>
      </c>
    </row>
    <row r="3138" spans="1:8" hidden="1">
      <c r="A3138" s="5" t="s">
        <v>92</v>
      </c>
      <c r="H3138" s="5" t="s">
        <v>198</v>
      </c>
    </row>
    <row r="3139" spans="1:8" hidden="1">
      <c r="A3139" s="6"/>
      <c r="H3139" s="5" t="s">
        <v>198</v>
      </c>
    </row>
    <row r="3140" spans="1:8" hidden="1">
      <c r="A3140" s="5" t="s">
        <v>19</v>
      </c>
      <c r="H3140" s="5" t="s">
        <v>198</v>
      </c>
    </row>
    <row r="3141" spans="1:8" hidden="1">
      <c r="A3141" s="5" t="s">
        <v>20</v>
      </c>
      <c r="H3141" s="5" t="s">
        <v>201</v>
      </c>
    </row>
    <row r="3142" spans="1:8" hidden="1">
      <c r="A3142" s="5" t="s">
        <v>21</v>
      </c>
      <c r="H3142" s="5" t="s">
        <v>201</v>
      </c>
    </row>
    <row r="3143" spans="1:8" hidden="1">
      <c r="A3143" s="5" t="s">
        <v>22</v>
      </c>
      <c r="H3143" s="5" t="s">
        <v>201</v>
      </c>
    </row>
    <row r="3144" spans="1:8" hidden="1">
      <c r="A3144" s="5" t="s">
        <v>23</v>
      </c>
      <c r="H3144" s="5" t="s">
        <v>211</v>
      </c>
    </row>
    <row r="3145" spans="1:8" hidden="1">
      <c r="A3145" s="5" t="s">
        <v>24</v>
      </c>
      <c r="H3145" s="5" t="s">
        <v>211</v>
      </c>
    </row>
    <row r="3146" spans="1:8" hidden="1">
      <c r="A3146" s="5" t="s">
        <v>25</v>
      </c>
      <c r="H3146" s="5" t="s">
        <v>211</v>
      </c>
    </row>
    <row r="3147" spans="1:8" hidden="1">
      <c r="A3147" s="5" t="s">
        <v>26</v>
      </c>
      <c r="H3147" s="5" t="s">
        <v>214</v>
      </c>
    </row>
    <row r="3148" spans="1:8" hidden="1">
      <c r="A3148" s="5" t="s">
        <v>27</v>
      </c>
      <c r="H3148" s="5" t="s">
        <v>214</v>
      </c>
    </row>
    <row r="3149" spans="1:8" hidden="1">
      <c r="A3149" s="5" t="s">
        <v>6</v>
      </c>
      <c r="H3149" s="5" t="s">
        <v>223</v>
      </c>
    </row>
    <row r="3150" spans="1:8" hidden="1">
      <c r="A3150" s="5" t="s">
        <v>28</v>
      </c>
      <c r="H3150" s="5" t="s">
        <v>229</v>
      </c>
    </row>
    <row r="3151" spans="1:8" hidden="1">
      <c r="A3151" s="5" t="s">
        <v>29</v>
      </c>
      <c r="H3151" s="5" t="s">
        <v>229</v>
      </c>
    </row>
    <row r="3152" spans="1:8" hidden="1">
      <c r="A3152" s="6"/>
      <c r="H3152" s="5" t="s">
        <v>229</v>
      </c>
    </row>
    <row r="3153" spans="1:8" hidden="1">
      <c r="A3153" s="6"/>
      <c r="H3153" s="5" t="s">
        <v>235</v>
      </c>
    </row>
    <row r="3154" spans="1:8" hidden="1">
      <c r="A3154" s="5" t="s">
        <v>6</v>
      </c>
      <c r="H3154" s="5" t="s">
        <v>235</v>
      </c>
    </row>
    <row r="3155" spans="1:8" hidden="1">
      <c r="A3155" s="5" t="s">
        <v>30</v>
      </c>
      <c r="H3155" s="5" t="s">
        <v>235</v>
      </c>
    </row>
    <row r="3156" spans="1:8" hidden="1">
      <c r="A3156" s="6"/>
      <c r="H3156" s="5" t="s">
        <v>239</v>
      </c>
    </row>
    <row r="3157" spans="1:8" hidden="1">
      <c r="A3157" s="5" t="s">
        <v>31</v>
      </c>
      <c r="H3157" s="5" t="s">
        <v>239</v>
      </c>
    </row>
    <row r="3158" spans="1:8" hidden="1">
      <c r="A3158" s="5" t="s">
        <v>32</v>
      </c>
      <c r="H3158" s="5" t="s">
        <v>241</v>
      </c>
    </row>
    <row r="3159" spans="1:8" hidden="1">
      <c r="A3159" s="5" t="s">
        <v>33</v>
      </c>
      <c r="H3159" s="5" t="s">
        <v>241</v>
      </c>
    </row>
    <row r="3160" spans="1:8" hidden="1">
      <c r="A3160" s="5" t="s">
        <v>34</v>
      </c>
      <c r="H3160" s="5" t="s">
        <v>249</v>
      </c>
    </row>
    <row r="3161" spans="1:8" hidden="1">
      <c r="A3161" s="5" t="s">
        <v>35</v>
      </c>
      <c r="H3161" s="5" t="s">
        <v>249</v>
      </c>
    </row>
    <row r="3162" spans="1:8" hidden="1">
      <c r="A3162" s="5" t="s">
        <v>36</v>
      </c>
      <c r="H3162" s="5" t="s">
        <v>253</v>
      </c>
    </row>
    <row r="3163" spans="1:8" hidden="1">
      <c r="A3163" s="5" t="s">
        <v>37</v>
      </c>
      <c r="H3163" s="5" t="s">
        <v>253</v>
      </c>
    </row>
    <row r="3164" spans="1:8" hidden="1">
      <c r="A3164" s="5" t="s">
        <v>38</v>
      </c>
      <c r="H3164" s="5" t="s">
        <v>253</v>
      </c>
    </row>
    <row r="3165" spans="1:8" hidden="1">
      <c r="A3165" s="5" t="s">
        <v>39</v>
      </c>
      <c r="H3165" s="5" t="s">
        <v>255</v>
      </c>
    </row>
    <row r="3166" spans="1:8" hidden="1">
      <c r="A3166" s="6"/>
      <c r="H3166" s="5" t="s">
        <v>255</v>
      </c>
    </row>
    <row r="3167" spans="1:8" hidden="1">
      <c r="A3167" s="5" t="s">
        <v>310</v>
      </c>
      <c r="H3167" s="5" t="s">
        <v>255</v>
      </c>
    </row>
    <row r="3168" spans="1:8" hidden="1">
      <c r="A3168" s="5" t="s">
        <v>311</v>
      </c>
      <c r="H3168" s="5" t="s">
        <v>257</v>
      </c>
    </row>
    <row r="3169" spans="1:8" hidden="1">
      <c r="A3169" s="6"/>
      <c r="H3169" s="5" t="s">
        <v>257</v>
      </c>
    </row>
    <row r="3170" spans="1:8" hidden="1">
      <c r="A3170" s="6"/>
      <c r="H3170" s="5" t="s">
        <v>260</v>
      </c>
    </row>
    <row r="3171" spans="1:8" hidden="1">
      <c r="A3171" s="6"/>
      <c r="H3171" s="5" t="s">
        <v>260</v>
      </c>
    </row>
    <row r="3172" spans="1:8" hidden="1">
      <c r="A3172" s="6"/>
      <c r="H3172" s="5" t="s">
        <v>260</v>
      </c>
    </row>
    <row r="3173" spans="1:8" hidden="1">
      <c r="A3173" s="5" t="s">
        <v>6</v>
      </c>
      <c r="H3173" s="5" t="s">
        <v>262</v>
      </c>
    </row>
    <row r="3174" spans="1:8" hidden="1">
      <c r="A3174" s="5" t="s">
        <v>40</v>
      </c>
      <c r="H3174" s="5" t="s">
        <v>262</v>
      </c>
    </row>
    <row r="3175" spans="1:8" hidden="1">
      <c r="A3175" s="6"/>
      <c r="H3175" s="5" t="s">
        <v>266</v>
      </c>
    </row>
    <row r="3176" spans="1:8" hidden="1">
      <c r="A3176" s="5" t="s">
        <v>41</v>
      </c>
      <c r="H3176" s="5" t="s">
        <v>266</v>
      </c>
    </row>
    <row r="3177" spans="1:8" hidden="1">
      <c r="A3177" s="6"/>
      <c r="H3177" s="5" t="s">
        <v>268</v>
      </c>
    </row>
    <row r="3178" spans="1:8" hidden="1">
      <c r="A3178" s="5" t="s">
        <v>42</v>
      </c>
      <c r="H3178" s="5" t="s">
        <v>268</v>
      </c>
    </row>
    <row r="3179" spans="1:8" hidden="1">
      <c r="A3179" s="6"/>
      <c r="H3179" s="5" t="s">
        <v>268</v>
      </c>
    </row>
    <row r="3180" spans="1:8" hidden="1">
      <c r="A3180" s="5" t="s">
        <v>43</v>
      </c>
      <c r="H3180" s="5" t="s">
        <v>279</v>
      </c>
    </row>
    <row r="3181" spans="1:8" hidden="1">
      <c r="A3181" s="5" t="s">
        <v>44</v>
      </c>
      <c r="H3181" s="5" t="s">
        <v>279</v>
      </c>
    </row>
    <row r="3182" spans="1:8" hidden="1">
      <c r="A3182" s="5" t="s">
        <v>45</v>
      </c>
      <c r="H3182" s="5" t="s">
        <v>279</v>
      </c>
    </row>
    <row r="3183" spans="1:8" hidden="1">
      <c r="A3183" s="5" t="s">
        <v>46</v>
      </c>
      <c r="H3183" s="5" t="s">
        <v>286</v>
      </c>
    </row>
    <row r="3184" spans="1:8" hidden="1">
      <c r="A3184" s="5" t="s">
        <v>47</v>
      </c>
      <c r="H3184" s="5" t="s">
        <v>286</v>
      </c>
    </row>
    <row r="3185" spans="1:8" hidden="1">
      <c r="A3185" s="5" t="s">
        <v>37</v>
      </c>
      <c r="H3185" s="5" t="s">
        <v>288</v>
      </c>
    </row>
    <row r="3186" spans="1:8" hidden="1">
      <c r="A3186" s="6"/>
      <c r="H3186" s="5" t="s">
        <v>288</v>
      </c>
    </row>
    <row r="3187" spans="1:8" hidden="1">
      <c r="A3187" s="5" t="s">
        <v>310</v>
      </c>
      <c r="H3187" s="5" t="s">
        <v>288</v>
      </c>
    </row>
    <row r="3188" spans="1:8" hidden="1">
      <c r="A3188" s="5" t="s">
        <v>311</v>
      </c>
      <c r="H3188" s="5" t="s">
        <v>288</v>
      </c>
    </row>
    <row r="3189" spans="1:8" hidden="1">
      <c r="A3189" s="6"/>
      <c r="H3189" s="5" t="s">
        <v>310</v>
      </c>
    </row>
    <row r="3190" spans="1:8" hidden="1">
      <c r="A3190" s="6"/>
      <c r="H3190" s="5" t="s">
        <v>310</v>
      </c>
    </row>
    <row r="3191" spans="1:8" hidden="1">
      <c r="A3191" s="5" t="s">
        <v>3</v>
      </c>
      <c r="H3191" s="5" t="s">
        <v>310</v>
      </c>
    </row>
    <row r="3192" spans="1:8" hidden="1">
      <c r="A3192" s="5" t="s">
        <v>4</v>
      </c>
      <c r="H3192" s="5" t="s">
        <v>312</v>
      </c>
    </row>
    <row r="3193" spans="1:8" hidden="1">
      <c r="A3193" s="5" t="s">
        <v>5</v>
      </c>
      <c r="H3193" s="5" t="s">
        <v>312</v>
      </c>
    </row>
    <row r="3194" spans="1:8" hidden="1">
      <c r="A3194" s="5" t="s">
        <v>6</v>
      </c>
      <c r="H3194" s="5" t="s">
        <v>312</v>
      </c>
    </row>
    <row r="3195" spans="1:8" hidden="1">
      <c r="A3195" s="5" t="s">
        <v>7</v>
      </c>
      <c r="H3195" s="5" t="s">
        <v>330</v>
      </c>
    </row>
    <row r="3196" spans="1:8" hidden="1">
      <c r="A3196" s="5" t="s">
        <v>6</v>
      </c>
      <c r="H3196" s="5" t="s">
        <v>330</v>
      </c>
    </row>
    <row r="3197" spans="1:8" hidden="1">
      <c r="A3197" s="5" t="s">
        <v>312</v>
      </c>
      <c r="H3197" s="5" t="s">
        <v>330</v>
      </c>
    </row>
    <row r="3198" spans="1:8" hidden="1">
      <c r="A3198" s="5" t="s">
        <v>313</v>
      </c>
      <c r="H3198" s="5" t="s">
        <v>332</v>
      </c>
    </row>
    <row r="3199" spans="1:8" hidden="1">
      <c r="A3199" s="6"/>
      <c r="H3199" s="5" t="s">
        <v>332</v>
      </c>
    </row>
    <row r="3200" spans="1:8" hidden="1">
      <c r="A3200" s="5" t="s">
        <v>281</v>
      </c>
      <c r="H3200" s="5" t="s">
        <v>332</v>
      </c>
    </row>
    <row r="3201" spans="1:8" hidden="1">
      <c r="A3201" s="5" t="s">
        <v>282</v>
      </c>
      <c r="H3201" s="5" t="s">
        <v>337</v>
      </c>
    </row>
    <row r="3202" spans="1:8" hidden="1">
      <c r="A3202" s="5" t="s">
        <v>283</v>
      </c>
      <c r="H3202" s="5" t="s">
        <v>337</v>
      </c>
    </row>
    <row r="3203" spans="1:8" hidden="1">
      <c r="A3203" s="5" t="s">
        <v>103</v>
      </c>
      <c r="H3203" s="5" t="s">
        <v>337</v>
      </c>
    </row>
    <row r="3204" spans="1:8" hidden="1">
      <c r="A3204" s="5" t="s">
        <v>6</v>
      </c>
      <c r="H3204" s="5" t="s">
        <v>341</v>
      </c>
    </row>
    <row r="3205" spans="1:8" hidden="1">
      <c r="A3205" s="5" t="s">
        <v>284</v>
      </c>
      <c r="H3205" s="5" t="s">
        <v>341</v>
      </c>
    </row>
    <row r="3206" spans="1:8" hidden="1">
      <c r="A3206" s="5" t="s">
        <v>314</v>
      </c>
      <c r="H3206" s="5" t="s">
        <v>341</v>
      </c>
    </row>
    <row r="3207" spans="1:8" hidden="1">
      <c r="A3207" s="6"/>
      <c r="H3207" s="5" t="s">
        <v>343</v>
      </c>
    </row>
    <row r="3208" spans="1:8" hidden="1">
      <c r="A3208" s="5" t="s">
        <v>18</v>
      </c>
      <c r="H3208" s="5" t="s">
        <v>343</v>
      </c>
    </row>
    <row r="3209" spans="1:8" hidden="1">
      <c r="A3209" s="7">
        <v>30000</v>
      </c>
      <c r="H3209" s="5" t="s">
        <v>343</v>
      </c>
    </row>
    <row r="3210" spans="1:8" hidden="1">
      <c r="A3210" s="6"/>
      <c r="H3210" s="5" t="s">
        <v>348</v>
      </c>
    </row>
    <row r="3211" spans="1:8" hidden="1">
      <c r="A3211" s="5" t="s">
        <v>19</v>
      </c>
      <c r="H3211" s="5" t="s">
        <v>348</v>
      </c>
    </row>
    <row r="3212" spans="1:8" hidden="1">
      <c r="A3212" s="5" t="s">
        <v>20</v>
      </c>
      <c r="H3212" s="5" t="s">
        <v>350</v>
      </c>
    </row>
    <row r="3213" spans="1:8" hidden="1">
      <c r="A3213" s="5" t="s">
        <v>21</v>
      </c>
      <c r="H3213" s="5" t="s">
        <v>350</v>
      </c>
    </row>
    <row r="3214" spans="1:8" hidden="1">
      <c r="A3214" s="5" t="s">
        <v>22</v>
      </c>
      <c r="H3214" s="5" t="s">
        <v>350</v>
      </c>
    </row>
    <row r="3215" spans="1:8" hidden="1">
      <c r="A3215" s="5" t="s">
        <v>23</v>
      </c>
      <c r="H3215" s="5" t="s">
        <v>353</v>
      </c>
    </row>
    <row r="3216" spans="1:8" hidden="1">
      <c r="A3216" s="5" t="s">
        <v>24</v>
      </c>
      <c r="H3216" s="5" t="s">
        <v>353</v>
      </c>
    </row>
    <row r="3217" spans="1:8" hidden="1">
      <c r="A3217" s="5" t="s">
        <v>25</v>
      </c>
      <c r="H3217" s="5" t="s">
        <v>353</v>
      </c>
    </row>
    <row r="3218" spans="1:8" hidden="1">
      <c r="A3218" s="5" t="s">
        <v>26</v>
      </c>
      <c r="H3218" s="5" t="s">
        <v>357</v>
      </c>
    </row>
    <row r="3219" spans="1:8" hidden="1">
      <c r="A3219" s="5" t="s">
        <v>27</v>
      </c>
      <c r="H3219" s="5" t="s">
        <v>357</v>
      </c>
    </row>
    <row r="3220" spans="1:8" hidden="1">
      <c r="A3220" s="5" t="s">
        <v>6</v>
      </c>
      <c r="H3220" s="5" t="s">
        <v>357</v>
      </c>
    </row>
    <row r="3221" spans="1:8" hidden="1">
      <c r="A3221" s="5" t="s">
        <v>28</v>
      </c>
      <c r="H3221" s="5" t="s">
        <v>359</v>
      </c>
    </row>
    <row r="3222" spans="1:8" hidden="1">
      <c r="A3222" s="5" t="s">
        <v>29</v>
      </c>
      <c r="H3222" s="5" t="s">
        <v>359</v>
      </c>
    </row>
    <row r="3223" spans="1:8" hidden="1">
      <c r="A3223" s="6"/>
      <c r="H3223" s="5" t="s">
        <v>359</v>
      </c>
    </row>
    <row r="3224" spans="1:8" hidden="1">
      <c r="A3224" s="6"/>
      <c r="H3224" s="5" t="s">
        <v>361</v>
      </c>
    </row>
    <row r="3225" spans="1:8" hidden="1">
      <c r="A3225" s="5" t="s">
        <v>6</v>
      </c>
      <c r="H3225" s="5" t="s">
        <v>361</v>
      </c>
    </row>
    <row r="3226" spans="1:8" hidden="1">
      <c r="A3226" s="5" t="s">
        <v>30</v>
      </c>
      <c r="H3226" s="5" t="s">
        <v>361</v>
      </c>
    </row>
    <row r="3227" spans="1:8" hidden="1">
      <c r="A3227" s="6"/>
      <c r="H3227" s="5" t="s">
        <v>368</v>
      </c>
    </row>
    <row r="3228" spans="1:8" hidden="1">
      <c r="A3228" s="5" t="s">
        <v>31</v>
      </c>
      <c r="H3228" s="5" t="s">
        <v>368</v>
      </c>
    </row>
    <row r="3229" spans="1:8" hidden="1">
      <c r="A3229" s="5" t="s">
        <v>32</v>
      </c>
      <c r="H3229" s="5" t="s">
        <v>370</v>
      </c>
    </row>
    <row r="3230" spans="1:8" hidden="1">
      <c r="A3230" s="5" t="s">
        <v>33</v>
      </c>
      <c r="H3230" s="5" t="s">
        <v>370</v>
      </c>
    </row>
    <row r="3231" spans="1:8" hidden="1">
      <c r="A3231" s="5" t="s">
        <v>34</v>
      </c>
      <c r="H3231" s="5" t="s">
        <v>370</v>
      </c>
    </row>
    <row r="3232" spans="1:8" hidden="1">
      <c r="A3232" s="5" t="s">
        <v>35</v>
      </c>
      <c r="H3232" s="5" t="s">
        <v>388</v>
      </c>
    </row>
    <row r="3233" spans="1:8" hidden="1">
      <c r="A3233" s="5" t="s">
        <v>36</v>
      </c>
      <c r="H3233" s="5" t="s">
        <v>388</v>
      </c>
    </row>
    <row r="3234" spans="1:8" hidden="1">
      <c r="A3234" s="5" t="s">
        <v>37</v>
      </c>
      <c r="H3234" s="5" t="s">
        <v>392</v>
      </c>
    </row>
    <row r="3235" spans="1:8" hidden="1">
      <c r="A3235" s="5" t="s">
        <v>38</v>
      </c>
      <c r="H3235" s="5" t="s">
        <v>392</v>
      </c>
    </row>
    <row r="3236" spans="1:8" hidden="1">
      <c r="A3236" s="5" t="s">
        <v>39</v>
      </c>
      <c r="H3236" s="5" t="s">
        <v>392</v>
      </c>
    </row>
    <row r="3237" spans="1:8" hidden="1">
      <c r="A3237" s="6"/>
      <c r="H3237" s="5" t="s">
        <v>326</v>
      </c>
    </row>
    <row r="3238" spans="1:8" hidden="1">
      <c r="A3238" s="5" t="s">
        <v>312</v>
      </c>
      <c r="H3238" s="5" t="s">
        <v>326</v>
      </c>
    </row>
    <row r="3239" spans="1:8" hidden="1">
      <c r="A3239" s="5" t="s">
        <v>313</v>
      </c>
      <c r="H3239" s="5" t="s">
        <v>31</v>
      </c>
    </row>
    <row r="3240" spans="1:8" hidden="1">
      <c r="A3240" s="6"/>
      <c r="H3240" s="5" t="s">
        <v>31</v>
      </c>
    </row>
    <row r="3241" spans="1:8" hidden="1">
      <c r="A3241" s="6"/>
      <c r="H3241" s="5" t="s">
        <v>31</v>
      </c>
    </row>
    <row r="3242" spans="1:8" hidden="1">
      <c r="A3242" s="6"/>
      <c r="H3242" s="5" t="s">
        <v>31</v>
      </c>
    </row>
    <row r="3243" spans="1:8" hidden="1">
      <c r="A3243" s="6"/>
      <c r="H3243" s="5" t="s">
        <v>31</v>
      </c>
    </row>
    <row r="3244" spans="1:8" hidden="1">
      <c r="A3244" s="5" t="s">
        <v>6</v>
      </c>
      <c r="H3244" s="5" t="s">
        <v>31</v>
      </c>
    </row>
    <row r="3245" spans="1:8" hidden="1">
      <c r="A3245" s="5" t="s">
        <v>40</v>
      </c>
      <c r="H3245" s="5" t="s">
        <v>31</v>
      </c>
    </row>
    <row r="3246" spans="1:8" hidden="1">
      <c r="A3246" s="6"/>
      <c r="H3246" s="5" t="s">
        <v>31</v>
      </c>
    </row>
    <row r="3247" spans="1:8" hidden="1">
      <c r="A3247" s="5" t="s">
        <v>41</v>
      </c>
      <c r="H3247" s="5" t="s">
        <v>31</v>
      </c>
    </row>
    <row r="3248" spans="1:8" hidden="1">
      <c r="A3248" s="6"/>
      <c r="H3248" s="5" t="s">
        <v>31</v>
      </c>
    </row>
    <row r="3249" spans="1:8" hidden="1">
      <c r="A3249" s="5" t="s">
        <v>42</v>
      </c>
      <c r="H3249" s="5" t="s">
        <v>31</v>
      </c>
    </row>
    <row r="3250" spans="1:8" hidden="1">
      <c r="A3250" s="6"/>
      <c r="H3250" s="5" t="s">
        <v>31</v>
      </c>
    </row>
    <row r="3251" spans="1:8" hidden="1">
      <c r="A3251" s="5" t="s">
        <v>43</v>
      </c>
      <c r="H3251" s="5" t="s">
        <v>31</v>
      </c>
    </row>
    <row r="3252" spans="1:8" hidden="1">
      <c r="A3252" s="5" t="s">
        <v>44</v>
      </c>
      <c r="H3252" s="5" t="s">
        <v>31</v>
      </c>
    </row>
    <row r="3253" spans="1:8" hidden="1">
      <c r="A3253" s="5" t="s">
        <v>45</v>
      </c>
      <c r="H3253" s="5" t="s">
        <v>31</v>
      </c>
    </row>
    <row r="3254" spans="1:8" hidden="1">
      <c r="A3254" s="5" t="s">
        <v>46</v>
      </c>
      <c r="H3254" s="5" t="s">
        <v>31</v>
      </c>
    </row>
    <row r="3255" spans="1:8" hidden="1">
      <c r="A3255" s="5" t="s">
        <v>47</v>
      </c>
      <c r="H3255" s="5" t="s">
        <v>31</v>
      </c>
    </row>
    <row r="3256" spans="1:8" hidden="1">
      <c r="A3256" s="5" t="s">
        <v>37</v>
      </c>
      <c r="H3256" s="5" t="s">
        <v>31</v>
      </c>
    </row>
    <row r="3257" spans="1:8" hidden="1">
      <c r="A3257" s="6"/>
      <c r="H3257" s="5" t="s">
        <v>31</v>
      </c>
    </row>
    <row r="3258" spans="1:8" hidden="1">
      <c r="A3258" s="5" t="s">
        <v>312</v>
      </c>
      <c r="H3258" s="5" t="s">
        <v>31</v>
      </c>
    </row>
    <row r="3259" spans="1:8" hidden="1">
      <c r="A3259" s="5" t="s">
        <v>313</v>
      </c>
      <c r="H3259" s="5" t="s">
        <v>31</v>
      </c>
    </row>
    <row r="3260" spans="1:8" hidden="1">
      <c r="A3260" s="6"/>
      <c r="H3260" s="5" t="s">
        <v>31</v>
      </c>
    </row>
    <row r="3261" spans="1:8" hidden="1">
      <c r="A3261" s="6"/>
      <c r="H3261" s="5" t="s">
        <v>31</v>
      </c>
    </row>
    <row r="3262" spans="1:8" hidden="1">
      <c r="A3262" s="5" t="s">
        <v>3</v>
      </c>
      <c r="H3262" s="5" t="s">
        <v>31</v>
      </c>
    </row>
    <row r="3263" spans="1:8" hidden="1">
      <c r="A3263" s="5" t="s">
        <v>4</v>
      </c>
      <c r="H3263" s="5" t="s">
        <v>31</v>
      </c>
    </row>
    <row r="3264" spans="1:8" hidden="1">
      <c r="A3264" s="5" t="s">
        <v>5</v>
      </c>
      <c r="H3264" s="5" t="s">
        <v>31</v>
      </c>
    </row>
    <row r="3265" spans="1:8" hidden="1">
      <c r="A3265" s="5" t="s">
        <v>6</v>
      </c>
      <c r="H3265" s="5" t="s">
        <v>31</v>
      </c>
    </row>
    <row r="3266" spans="1:8" hidden="1">
      <c r="A3266" s="5" t="s">
        <v>7</v>
      </c>
      <c r="H3266" s="5" t="s">
        <v>31</v>
      </c>
    </row>
    <row r="3267" spans="1:8" hidden="1">
      <c r="A3267" s="5" t="s">
        <v>6</v>
      </c>
      <c r="H3267" s="5" t="s">
        <v>31</v>
      </c>
    </row>
    <row r="3268" spans="1:8" hidden="1">
      <c r="A3268" s="5" t="s">
        <v>315</v>
      </c>
      <c r="H3268" s="5" t="s">
        <v>31</v>
      </c>
    </row>
    <row r="3269" spans="1:8" hidden="1">
      <c r="A3269" s="5" t="s">
        <v>316</v>
      </c>
      <c r="H3269" s="5" t="s">
        <v>31</v>
      </c>
    </row>
    <row r="3270" spans="1:8" hidden="1">
      <c r="A3270" s="6"/>
      <c r="H3270" s="5" t="s">
        <v>31</v>
      </c>
    </row>
    <row r="3271" spans="1:8" hidden="1">
      <c r="A3271" s="6"/>
      <c r="H3271" s="5" t="s">
        <v>31</v>
      </c>
    </row>
    <row r="3272" spans="1:8" hidden="1">
      <c r="A3272" s="5" t="s">
        <v>317</v>
      </c>
      <c r="H3272" s="5" t="s">
        <v>31</v>
      </c>
    </row>
    <row r="3273" spans="1:8" hidden="1">
      <c r="A3273" s="5" t="s">
        <v>318</v>
      </c>
      <c r="H3273" s="5" t="s">
        <v>31</v>
      </c>
    </row>
    <row r="3274" spans="1:8" hidden="1">
      <c r="A3274" s="5" t="s">
        <v>319</v>
      </c>
      <c r="H3274" s="5" t="s">
        <v>31</v>
      </c>
    </row>
    <row r="3275" spans="1:8" hidden="1">
      <c r="A3275" s="5" t="s">
        <v>320</v>
      </c>
      <c r="H3275" s="5" t="s">
        <v>31</v>
      </c>
    </row>
    <row r="3276" spans="1:8" hidden="1">
      <c r="A3276" s="5" t="s">
        <v>321</v>
      </c>
      <c r="H3276" s="5" t="s">
        <v>31</v>
      </c>
    </row>
    <row r="3277" spans="1:8" hidden="1">
      <c r="A3277" s="6"/>
      <c r="H3277" s="5" t="s">
        <v>31</v>
      </c>
    </row>
    <row r="3278" spans="1:8" hidden="1">
      <c r="A3278" s="5" t="s">
        <v>322</v>
      </c>
      <c r="H3278" s="5" t="s">
        <v>31</v>
      </c>
    </row>
    <row r="3279" spans="1:8" hidden="1">
      <c r="A3279" s="5" t="s">
        <v>323</v>
      </c>
      <c r="H3279" s="5" t="s">
        <v>31</v>
      </c>
    </row>
    <row r="3280" spans="1:8" hidden="1">
      <c r="A3280" s="5" t="s">
        <v>324</v>
      </c>
      <c r="H3280" s="5" t="s">
        <v>31</v>
      </c>
    </row>
    <row r="3281" spans="1:8" hidden="1">
      <c r="A3281" s="5" t="s">
        <v>325</v>
      </c>
      <c r="H3281" s="5" t="s">
        <v>31</v>
      </c>
    </row>
    <row r="3282" spans="1:8" hidden="1">
      <c r="A3282" s="5" t="s">
        <v>326</v>
      </c>
      <c r="H3282" s="5" t="s">
        <v>31</v>
      </c>
    </row>
    <row r="3283" spans="1:8" hidden="1">
      <c r="A3283" s="5" t="s">
        <v>327</v>
      </c>
      <c r="H3283" s="5" t="s">
        <v>31</v>
      </c>
    </row>
    <row r="3284" spans="1:8" hidden="1">
      <c r="A3284" s="5" t="s">
        <v>328</v>
      </c>
      <c r="H3284" s="5" t="s">
        <v>31</v>
      </c>
    </row>
    <row r="3285" spans="1:8" hidden="1">
      <c r="A3285" s="5" t="s">
        <v>329</v>
      </c>
      <c r="H3285" s="5" t="s">
        <v>31</v>
      </c>
    </row>
    <row r="3286" spans="1:8" hidden="1">
      <c r="A3286" s="5" t="s">
        <v>3</v>
      </c>
      <c r="H3286" s="5" t="s">
        <v>31</v>
      </c>
    </row>
    <row r="3287" spans="1:8" hidden="1">
      <c r="A3287" s="5" t="s">
        <v>4</v>
      </c>
      <c r="H3287" s="5" t="s">
        <v>31</v>
      </c>
    </row>
    <row r="3288" spans="1:8" hidden="1">
      <c r="A3288" s="5" t="s">
        <v>5</v>
      </c>
      <c r="H3288" s="5" t="s">
        <v>31</v>
      </c>
    </row>
    <row r="3289" spans="1:8" hidden="1">
      <c r="A3289" s="5" t="s">
        <v>6</v>
      </c>
      <c r="H3289" s="5" t="s">
        <v>31</v>
      </c>
    </row>
    <row r="3290" spans="1:8" hidden="1">
      <c r="A3290" s="5" t="s">
        <v>7</v>
      </c>
      <c r="H3290" s="5" t="s">
        <v>31</v>
      </c>
    </row>
    <row r="3291" spans="1:8" hidden="1">
      <c r="A3291" s="5" t="s">
        <v>6</v>
      </c>
      <c r="H3291" s="5" t="s">
        <v>31</v>
      </c>
    </row>
    <row r="3292" spans="1:8" hidden="1">
      <c r="A3292" s="5" t="s">
        <v>330</v>
      </c>
      <c r="H3292" s="5" t="s">
        <v>31</v>
      </c>
    </row>
    <row r="3293" spans="1:8" hidden="1">
      <c r="A3293" s="5" t="s">
        <v>331</v>
      </c>
      <c r="H3293" s="5" t="s">
        <v>31</v>
      </c>
    </row>
    <row r="3294" spans="1:8" hidden="1">
      <c r="A3294" s="6"/>
      <c r="H3294" s="5" t="s">
        <v>31</v>
      </c>
    </row>
    <row r="3295" spans="1:8" hidden="1">
      <c r="A3295" s="5" t="s">
        <v>106</v>
      </c>
      <c r="H3295" s="5" t="s">
        <v>31</v>
      </c>
    </row>
    <row r="3296" spans="1:8" hidden="1">
      <c r="A3296" s="5" t="s">
        <v>103</v>
      </c>
      <c r="H3296" s="5" t="s">
        <v>31</v>
      </c>
    </row>
    <row r="3297" spans="1:8" hidden="1">
      <c r="A3297" s="5" t="s">
        <v>6</v>
      </c>
      <c r="H3297" s="5" t="s">
        <v>31</v>
      </c>
    </row>
    <row r="3298" spans="1:8" hidden="1">
      <c r="A3298" s="5" t="s">
        <v>91</v>
      </c>
      <c r="H3298" s="5" t="s">
        <v>31</v>
      </c>
    </row>
    <row r="3299" spans="1:8" hidden="1">
      <c r="A3299" s="5" t="s">
        <v>63</v>
      </c>
      <c r="H3299" s="5" t="s">
        <v>31</v>
      </c>
    </row>
    <row r="3300" spans="1:8" hidden="1">
      <c r="A3300" s="5" t="s">
        <v>92</v>
      </c>
      <c r="H3300" s="5" t="s">
        <v>31</v>
      </c>
    </row>
    <row r="3301" spans="1:8" hidden="1">
      <c r="A3301" s="6"/>
      <c r="H3301" s="5" t="s">
        <v>31</v>
      </c>
    </row>
    <row r="3302" spans="1:8" hidden="1">
      <c r="A3302" s="5" t="s">
        <v>19</v>
      </c>
      <c r="H3302" s="5" t="s">
        <v>31</v>
      </c>
    </row>
    <row r="3303" spans="1:8" hidden="1">
      <c r="A3303" s="5" t="s">
        <v>20</v>
      </c>
      <c r="H3303" s="5" t="s">
        <v>9</v>
      </c>
    </row>
    <row r="3304" spans="1:8" hidden="1">
      <c r="A3304" s="5" t="s">
        <v>21</v>
      </c>
      <c r="H3304" s="5" t="s">
        <v>194</v>
      </c>
    </row>
    <row r="3305" spans="1:8" hidden="1">
      <c r="A3305" s="5" t="s">
        <v>22</v>
      </c>
      <c r="H3305" s="5" t="s">
        <v>197</v>
      </c>
    </row>
    <row r="3306" spans="1:8" hidden="1">
      <c r="A3306" s="5" t="s">
        <v>23</v>
      </c>
      <c r="H3306" s="5" t="s">
        <v>401</v>
      </c>
    </row>
    <row r="3307" spans="1:8" hidden="1">
      <c r="A3307" s="5" t="s">
        <v>24</v>
      </c>
      <c r="H3307" s="5" t="s">
        <v>327</v>
      </c>
    </row>
    <row r="3308" spans="1:8" hidden="1">
      <c r="A3308" s="5" t="s">
        <v>25</v>
      </c>
      <c r="H3308" s="5" t="s">
        <v>327</v>
      </c>
    </row>
    <row r="3309" spans="1:8" hidden="1">
      <c r="A3309" s="5" t="s">
        <v>26</v>
      </c>
      <c r="H3309" s="5" t="s">
        <v>42</v>
      </c>
    </row>
    <row r="3310" spans="1:8" hidden="1">
      <c r="A3310" s="5" t="s">
        <v>27</v>
      </c>
      <c r="H3310" s="5" t="s">
        <v>42</v>
      </c>
    </row>
    <row r="3311" spans="1:8" hidden="1">
      <c r="A3311" s="5" t="s">
        <v>6</v>
      </c>
      <c r="H3311" s="5" t="s">
        <v>42</v>
      </c>
    </row>
    <row r="3312" spans="1:8" hidden="1">
      <c r="A3312" s="5" t="s">
        <v>28</v>
      </c>
      <c r="H3312" s="5" t="s">
        <v>42</v>
      </c>
    </row>
    <row r="3313" spans="1:8" hidden="1">
      <c r="A3313" s="5" t="s">
        <v>29</v>
      </c>
      <c r="H3313" s="5" t="s">
        <v>42</v>
      </c>
    </row>
    <row r="3314" spans="1:8" hidden="1">
      <c r="A3314" s="6"/>
      <c r="H3314" s="5" t="s">
        <v>42</v>
      </c>
    </row>
    <row r="3315" spans="1:8" hidden="1">
      <c r="A3315" s="6"/>
      <c r="H3315" s="5" t="s">
        <v>42</v>
      </c>
    </row>
    <row r="3316" spans="1:8" hidden="1">
      <c r="A3316" s="5" t="s">
        <v>6</v>
      </c>
      <c r="H3316" s="5" t="s">
        <v>42</v>
      </c>
    </row>
    <row r="3317" spans="1:8" hidden="1">
      <c r="A3317" s="5" t="s">
        <v>30</v>
      </c>
      <c r="H3317" s="5" t="s">
        <v>42</v>
      </c>
    </row>
    <row r="3318" spans="1:8" hidden="1">
      <c r="A3318" s="6"/>
      <c r="H3318" s="5" t="s">
        <v>42</v>
      </c>
    </row>
    <row r="3319" spans="1:8" hidden="1">
      <c r="A3319" s="5" t="s">
        <v>31</v>
      </c>
      <c r="H3319" s="5" t="s">
        <v>42</v>
      </c>
    </row>
    <row r="3320" spans="1:8" hidden="1">
      <c r="A3320" s="5" t="s">
        <v>32</v>
      </c>
      <c r="H3320" s="5" t="s">
        <v>42</v>
      </c>
    </row>
    <row r="3321" spans="1:8" hidden="1">
      <c r="A3321" s="5" t="s">
        <v>33</v>
      </c>
      <c r="H3321" s="5" t="s">
        <v>42</v>
      </c>
    </row>
    <row r="3322" spans="1:8" hidden="1">
      <c r="A3322" s="5" t="s">
        <v>34</v>
      </c>
      <c r="H3322" s="5" t="s">
        <v>42</v>
      </c>
    </row>
    <row r="3323" spans="1:8" hidden="1">
      <c r="A3323" s="5" t="s">
        <v>35</v>
      </c>
      <c r="H3323" s="5" t="s">
        <v>42</v>
      </c>
    </row>
    <row r="3324" spans="1:8" hidden="1">
      <c r="A3324" s="5" t="s">
        <v>36</v>
      </c>
      <c r="H3324" s="5" t="s">
        <v>42</v>
      </c>
    </row>
    <row r="3325" spans="1:8" hidden="1">
      <c r="A3325" s="5" t="s">
        <v>37</v>
      </c>
      <c r="H3325" s="5" t="s">
        <v>42</v>
      </c>
    </row>
    <row r="3326" spans="1:8" hidden="1">
      <c r="A3326" s="5" t="s">
        <v>38</v>
      </c>
      <c r="H3326" s="5" t="s">
        <v>42</v>
      </c>
    </row>
    <row r="3327" spans="1:8" hidden="1">
      <c r="A3327" s="5" t="s">
        <v>39</v>
      </c>
      <c r="H3327" s="5" t="s">
        <v>42</v>
      </c>
    </row>
    <row r="3328" spans="1:8" hidden="1">
      <c r="A3328" s="6"/>
      <c r="H3328" s="5" t="s">
        <v>42</v>
      </c>
    </row>
    <row r="3329" spans="1:8" hidden="1">
      <c r="A3329" s="5" t="s">
        <v>330</v>
      </c>
      <c r="H3329" s="5" t="s">
        <v>42</v>
      </c>
    </row>
    <row r="3330" spans="1:8" hidden="1">
      <c r="A3330" s="5" t="s">
        <v>331</v>
      </c>
      <c r="H3330" s="5" t="s">
        <v>42</v>
      </c>
    </row>
    <row r="3331" spans="1:8" hidden="1">
      <c r="A3331" s="6"/>
      <c r="H3331" s="5" t="s">
        <v>42</v>
      </c>
    </row>
    <row r="3332" spans="1:8" hidden="1">
      <c r="A3332" s="6"/>
      <c r="H3332" s="5" t="s">
        <v>42</v>
      </c>
    </row>
    <row r="3333" spans="1:8" hidden="1">
      <c r="A3333" s="6"/>
      <c r="H3333" s="5" t="s">
        <v>42</v>
      </c>
    </row>
    <row r="3334" spans="1:8" hidden="1">
      <c r="A3334" s="6"/>
      <c r="H3334" s="5" t="s">
        <v>42</v>
      </c>
    </row>
    <row r="3335" spans="1:8" hidden="1">
      <c r="A3335" s="5" t="s">
        <v>6</v>
      </c>
      <c r="H3335" s="5" t="s">
        <v>42</v>
      </c>
    </row>
    <row r="3336" spans="1:8" hidden="1">
      <c r="A3336" s="5" t="s">
        <v>40</v>
      </c>
      <c r="H3336" s="5" t="s">
        <v>42</v>
      </c>
    </row>
    <row r="3337" spans="1:8" hidden="1">
      <c r="A3337" s="6"/>
      <c r="H3337" s="5" t="s">
        <v>42</v>
      </c>
    </row>
    <row r="3338" spans="1:8" hidden="1">
      <c r="A3338" s="5" t="s">
        <v>41</v>
      </c>
      <c r="H3338" s="5" t="s">
        <v>42</v>
      </c>
    </row>
    <row r="3339" spans="1:8" hidden="1">
      <c r="A3339" s="6"/>
      <c r="H3339" s="5" t="s">
        <v>42</v>
      </c>
    </row>
    <row r="3340" spans="1:8" hidden="1">
      <c r="A3340" s="5" t="s">
        <v>42</v>
      </c>
      <c r="H3340" s="5" t="s">
        <v>42</v>
      </c>
    </row>
    <row r="3341" spans="1:8" hidden="1">
      <c r="A3341" s="6"/>
      <c r="H3341" s="5" t="s">
        <v>42</v>
      </c>
    </row>
    <row r="3342" spans="1:8" hidden="1">
      <c r="A3342" s="5" t="s">
        <v>43</v>
      </c>
      <c r="H3342" s="5" t="s">
        <v>42</v>
      </c>
    </row>
    <row r="3343" spans="1:8" hidden="1">
      <c r="A3343" s="5" t="s">
        <v>44</v>
      </c>
      <c r="H3343" s="5" t="s">
        <v>42</v>
      </c>
    </row>
    <row r="3344" spans="1:8" hidden="1">
      <c r="A3344" s="5" t="s">
        <v>45</v>
      </c>
      <c r="H3344" s="5" t="s">
        <v>42</v>
      </c>
    </row>
    <row r="3345" spans="1:8" hidden="1">
      <c r="A3345" s="5" t="s">
        <v>46</v>
      </c>
      <c r="H3345" s="5" t="s">
        <v>42</v>
      </c>
    </row>
    <row r="3346" spans="1:8" hidden="1">
      <c r="A3346" s="5" t="s">
        <v>47</v>
      </c>
      <c r="H3346" s="5" t="s">
        <v>42</v>
      </c>
    </row>
    <row r="3347" spans="1:8" hidden="1">
      <c r="A3347" s="5" t="s">
        <v>37</v>
      </c>
      <c r="H3347" s="5" t="s">
        <v>42</v>
      </c>
    </row>
    <row r="3348" spans="1:8" hidden="1">
      <c r="A3348" s="6"/>
      <c r="H3348" s="5" t="s">
        <v>42</v>
      </c>
    </row>
    <row r="3349" spans="1:8" hidden="1">
      <c r="A3349" s="5" t="s">
        <v>330</v>
      </c>
      <c r="H3349" s="5" t="s">
        <v>42</v>
      </c>
    </row>
    <row r="3350" spans="1:8" hidden="1">
      <c r="A3350" s="5" t="s">
        <v>331</v>
      </c>
      <c r="H3350" s="5" t="s">
        <v>42</v>
      </c>
    </row>
    <row r="3351" spans="1:8" hidden="1">
      <c r="A3351" s="6"/>
      <c r="H3351" s="5" t="s">
        <v>42</v>
      </c>
    </row>
    <row r="3352" spans="1:8" hidden="1">
      <c r="A3352" s="6"/>
      <c r="H3352" s="5" t="s">
        <v>42</v>
      </c>
    </row>
    <row r="3353" spans="1:8" hidden="1">
      <c r="A3353" s="5" t="s">
        <v>3</v>
      </c>
      <c r="H3353" s="5" t="s">
        <v>42</v>
      </c>
    </row>
    <row r="3354" spans="1:8" hidden="1">
      <c r="A3354" s="5" t="s">
        <v>4</v>
      </c>
      <c r="H3354" s="5" t="s">
        <v>42</v>
      </c>
    </row>
    <row r="3355" spans="1:8" hidden="1">
      <c r="A3355" s="5" t="s">
        <v>5</v>
      </c>
      <c r="H3355" s="5" t="s">
        <v>42</v>
      </c>
    </row>
    <row r="3356" spans="1:8" hidden="1">
      <c r="A3356" s="5" t="s">
        <v>6</v>
      </c>
      <c r="H3356" s="5" t="s">
        <v>301</v>
      </c>
    </row>
    <row r="3357" spans="1:8" hidden="1">
      <c r="A3357" s="5" t="s">
        <v>7</v>
      </c>
      <c r="H3357" s="5" t="s">
        <v>121</v>
      </c>
    </row>
    <row r="3358" spans="1:8" hidden="1">
      <c r="A3358" s="5" t="s">
        <v>6</v>
      </c>
      <c r="H3358" s="5" t="s">
        <v>222</v>
      </c>
    </row>
    <row r="3359" spans="1:8" hidden="1">
      <c r="A3359" s="5" t="s">
        <v>332</v>
      </c>
      <c r="H3359" s="5" t="s">
        <v>317</v>
      </c>
    </row>
    <row r="3360" spans="1:8" hidden="1">
      <c r="A3360" s="5" t="s">
        <v>333</v>
      </c>
      <c r="H3360" s="5" t="s">
        <v>317</v>
      </c>
    </row>
    <row r="3361" spans="1:9" hidden="1">
      <c r="A3361" s="6"/>
      <c r="H3361" s="5" t="s">
        <v>318</v>
      </c>
    </row>
    <row r="3362" spans="1:9" hidden="1">
      <c r="A3362" s="5" t="s">
        <v>12</v>
      </c>
      <c r="H3362" s="5" t="s">
        <v>382</v>
      </c>
    </row>
    <row r="3363" spans="1:9" hidden="1">
      <c r="A3363" s="5" t="s">
        <v>13</v>
      </c>
      <c r="H3363" s="5" t="s">
        <v>193</v>
      </c>
    </row>
    <row r="3364" spans="1:9" hidden="1">
      <c r="A3364" s="5" t="s">
        <v>200</v>
      </c>
      <c r="H3364" s="5" t="s">
        <v>400</v>
      </c>
    </row>
    <row r="3365" spans="1:9" hidden="1">
      <c r="A3365" s="5" t="s">
        <v>106</v>
      </c>
      <c r="H3365" s="5" t="s">
        <v>328</v>
      </c>
    </row>
    <row r="3366" spans="1:9" hidden="1">
      <c r="A3366" s="5" t="s">
        <v>103</v>
      </c>
      <c r="H3366" s="5" t="s">
        <v>328</v>
      </c>
    </row>
    <row r="3367" spans="1:9" hidden="1">
      <c r="A3367" s="5" t="s">
        <v>6</v>
      </c>
      <c r="H3367" s="5" t="s">
        <v>319</v>
      </c>
    </row>
    <row r="3368" spans="1:9" hidden="1">
      <c r="A3368" s="5" t="s">
        <v>334</v>
      </c>
      <c r="H3368" s="5" t="s">
        <v>319</v>
      </c>
    </row>
    <row r="3369" spans="1:9" hidden="1">
      <c r="A3369" s="5" t="s">
        <v>335</v>
      </c>
      <c r="H3369" s="5" t="s">
        <v>329</v>
      </c>
    </row>
    <row r="3370" spans="1:9" hidden="1">
      <c r="A3370" s="5" t="s">
        <v>336</v>
      </c>
      <c r="H3370" s="5" t="s">
        <v>387</v>
      </c>
    </row>
    <row r="3371" spans="1:9" hidden="1">
      <c r="A3371" s="6"/>
      <c r="H3371" s="5" t="s">
        <v>315</v>
      </c>
    </row>
    <row r="3372" spans="1:9" hidden="1">
      <c r="A3372" s="5" t="s">
        <v>18</v>
      </c>
      <c r="H3372" s="5" t="s">
        <v>380</v>
      </c>
    </row>
    <row r="3373" spans="1:9" hidden="1">
      <c r="A3373" s="7">
        <v>100000</v>
      </c>
      <c r="H3373" s="1"/>
      <c r="I3373" s="3" t="s">
        <v>1</v>
      </c>
    </row>
    <row r="3374" spans="1:9" hidden="1">
      <c r="A3374" s="6"/>
      <c r="H3374" s="1"/>
      <c r="I3374" s="4" t="s">
        <v>2</v>
      </c>
    </row>
    <row r="3375" spans="1:9" hidden="1">
      <c r="A3375" s="5" t="s">
        <v>19</v>
      </c>
    </row>
    <row r="3376" spans="1:9" hidden="1">
      <c r="A3376" s="5" t="s">
        <v>20</v>
      </c>
      <c r="H3376" s="6"/>
    </row>
    <row r="3377" spans="1:8" hidden="1">
      <c r="A3377" s="5" t="s">
        <v>21</v>
      </c>
      <c r="H3377" s="6"/>
    </row>
    <row r="3378" spans="1:8" hidden="1">
      <c r="A3378" s="5" t="s">
        <v>22</v>
      </c>
      <c r="H3378" s="6"/>
    </row>
    <row r="3379" spans="1:8" hidden="1">
      <c r="A3379" s="5" t="s">
        <v>23</v>
      </c>
      <c r="H3379" s="6"/>
    </row>
    <row r="3380" spans="1:8" hidden="1">
      <c r="A3380" s="5" t="s">
        <v>24</v>
      </c>
      <c r="H3380" s="6"/>
    </row>
    <row r="3381" spans="1:8" hidden="1">
      <c r="A3381" s="5" t="s">
        <v>25</v>
      </c>
      <c r="H3381" s="6"/>
    </row>
    <row r="3382" spans="1:8" hidden="1">
      <c r="A3382" s="5" t="s">
        <v>26</v>
      </c>
      <c r="H3382" s="6"/>
    </row>
    <row r="3383" spans="1:8" hidden="1">
      <c r="A3383" s="5" t="s">
        <v>27</v>
      </c>
      <c r="H3383" s="6"/>
    </row>
    <row r="3384" spans="1:8" hidden="1">
      <c r="A3384" s="5" t="s">
        <v>6</v>
      </c>
      <c r="H3384" s="6"/>
    </row>
    <row r="3385" spans="1:8" hidden="1">
      <c r="A3385" s="5" t="s">
        <v>28</v>
      </c>
      <c r="H3385" s="6"/>
    </row>
    <row r="3386" spans="1:8" hidden="1">
      <c r="A3386" s="5" t="s">
        <v>29</v>
      </c>
      <c r="H3386" s="6"/>
    </row>
    <row r="3387" spans="1:8" hidden="1">
      <c r="A3387" s="6"/>
      <c r="H3387" s="6"/>
    </row>
    <row r="3388" spans="1:8" hidden="1">
      <c r="A3388" s="6"/>
      <c r="H3388" s="6"/>
    </row>
    <row r="3389" spans="1:8" hidden="1">
      <c r="A3389" s="5" t="s">
        <v>6</v>
      </c>
      <c r="H3389" s="6"/>
    </row>
    <row r="3390" spans="1:8" hidden="1">
      <c r="A3390" s="5" t="s">
        <v>30</v>
      </c>
      <c r="H3390" s="6"/>
    </row>
    <row r="3391" spans="1:8" hidden="1">
      <c r="A3391" s="6"/>
      <c r="H3391" s="6"/>
    </row>
    <row r="3392" spans="1:8" hidden="1">
      <c r="A3392" s="5" t="s">
        <v>31</v>
      </c>
      <c r="H3392" s="6"/>
    </row>
    <row r="3393" spans="1:8" hidden="1">
      <c r="A3393" s="5" t="s">
        <v>32</v>
      </c>
      <c r="H3393" s="6"/>
    </row>
    <row r="3394" spans="1:8" hidden="1">
      <c r="A3394" s="5" t="s">
        <v>33</v>
      </c>
      <c r="H3394" s="6"/>
    </row>
    <row r="3395" spans="1:8" hidden="1">
      <c r="A3395" s="5" t="s">
        <v>34</v>
      </c>
      <c r="H3395" s="6"/>
    </row>
    <row r="3396" spans="1:8" hidden="1">
      <c r="A3396" s="5" t="s">
        <v>35</v>
      </c>
      <c r="H3396" s="6"/>
    </row>
    <row r="3397" spans="1:8" hidden="1">
      <c r="A3397" s="5" t="s">
        <v>36</v>
      </c>
      <c r="H3397" s="6"/>
    </row>
    <row r="3398" spans="1:8" hidden="1">
      <c r="A3398" s="5" t="s">
        <v>37</v>
      </c>
      <c r="H3398" s="6"/>
    </row>
    <row r="3399" spans="1:8" hidden="1">
      <c r="A3399" s="5" t="s">
        <v>38</v>
      </c>
      <c r="H3399" s="6"/>
    </row>
    <row r="3400" spans="1:8" hidden="1">
      <c r="A3400" s="5" t="s">
        <v>39</v>
      </c>
      <c r="H3400" s="6"/>
    </row>
    <row r="3401" spans="1:8" hidden="1">
      <c r="A3401" s="6"/>
      <c r="H3401" s="6"/>
    </row>
    <row r="3402" spans="1:8" hidden="1">
      <c r="A3402" s="5" t="s">
        <v>332</v>
      </c>
      <c r="H3402" s="6"/>
    </row>
    <row r="3403" spans="1:8" hidden="1">
      <c r="A3403" s="5" t="s">
        <v>333</v>
      </c>
      <c r="H3403" s="6"/>
    </row>
    <row r="3404" spans="1:8" hidden="1">
      <c r="A3404" s="6"/>
      <c r="H3404" s="6"/>
    </row>
    <row r="3405" spans="1:8" hidden="1">
      <c r="A3405" s="6"/>
      <c r="H3405" s="6"/>
    </row>
    <row r="3406" spans="1:8" hidden="1">
      <c r="A3406" s="6"/>
      <c r="H3406" s="6"/>
    </row>
    <row r="3407" spans="1:8" hidden="1">
      <c r="A3407" s="6"/>
      <c r="H3407" s="6"/>
    </row>
    <row r="3408" spans="1:8" hidden="1">
      <c r="A3408" s="5" t="s">
        <v>6</v>
      </c>
      <c r="H3408" s="6"/>
    </row>
    <row r="3409" spans="1:8" hidden="1">
      <c r="A3409" s="5" t="s">
        <v>40</v>
      </c>
      <c r="H3409" s="6"/>
    </row>
    <row r="3410" spans="1:8" hidden="1">
      <c r="A3410" s="6"/>
      <c r="H3410" s="6"/>
    </row>
    <row r="3411" spans="1:8" hidden="1">
      <c r="A3411" s="5" t="s">
        <v>41</v>
      </c>
      <c r="H3411" s="6"/>
    </row>
    <row r="3412" spans="1:8" hidden="1">
      <c r="A3412" s="6"/>
      <c r="H3412" s="6"/>
    </row>
    <row r="3413" spans="1:8" hidden="1">
      <c r="A3413" s="5" t="s">
        <v>42</v>
      </c>
      <c r="H3413" s="6"/>
    </row>
    <row r="3414" spans="1:8" hidden="1">
      <c r="A3414" s="6"/>
      <c r="H3414" s="6"/>
    </row>
    <row r="3415" spans="1:8" hidden="1">
      <c r="A3415" s="5" t="s">
        <v>43</v>
      </c>
      <c r="H3415" s="6"/>
    </row>
    <row r="3416" spans="1:8" hidden="1">
      <c r="A3416" s="5" t="s">
        <v>44</v>
      </c>
      <c r="H3416" s="6"/>
    </row>
    <row r="3417" spans="1:8" hidden="1">
      <c r="A3417" s="5" t="s">
        <v>45</v>
      </c>
      <c r="H3417" s="6"/>
    </row>
    <row r="3418" spans="1:8" hidden="1">
      <c r="A3418" s="5" t="s">
        <v>46</v>
      </c>
      <c r="H3418" s="6"/>
    </row>
    <row r="3419" spans="1:8" hidden="1">
      <c r="A3419" s="5" t="s">
        <v>47</v>
      </c>
      <c r="H3419" s="6"/>
    </row>
    <row r="3420" spans="1:8" hidden="1">
      <c r="A3420" s="5" t="s">
        <v>37</v>
      </c>
      <c r="H3420" s="6"/>
    </row>
    <row r="3421" spans="1:8" hidden="1">
      <c r="A3421" s="6"/>
      <c r="H3421" s="6"/>
    </row>
    <row r="3422" spans="1:8" hidden="1">
      <c r="A3422" s="5" t="s">
        <v>332</v>
      </c>
      <c r="H3422" s="6"/>
    </row>
    <row r="3423" spans="1:8" hidden="1">
      <c r="A3423" s="5" t="s">
        <v>333</v>
      </c>
      <c r="H3423" s="6"/>
    </row>
    <row r="3424" spans="1:8" hidden="1">
      <c r="A3424" s="6"/>
      <c r="H3424" s="6"/>
    </row>
    <row r="3425" spans="1:8" hidden="1">
      <c r="A3425" s="6"/>
      <c r="H3425" s="6"/>
    </row>
    <row r="3426" spans="1:8" hidden="1">
      <c r="A3426" s="5" t="s">
        <v>3</v>
      </c>
      <c r="H3426" s="6"/>
    </row>
    <row r="3427" spans="1:8" hidden="1">
      <c r="A3427" s="5" t="s">
        <v>4</v>
      </c>
      <c r="H3427" s="6"/>
    </row>
    <row r="3428" spans="1:8" hidden="1">
      <c r="A3428" s="5" t="s">
        <v>5</v>
      </c>
      <c r="H3428" s="6"/>
    </row>
    <row r="3429" spans="1:8" hidden="1">
      <c r="A3429" s="5" t="s">
        <v>6</v>
      </c>
      <c r="H3429" s="6"/>
    </row>
    <row r="3430" spans="1:8" hidden="1">
      <c r="A3430" s="5" t="s">
        <v>7</v>
      </c>
      <c r="H3430" s="6"/>
    </row>
    <row r="3431" spans="1:8" hidden="1">
      <c r="A3431" s="5" t="s">
        <v>6</v>
      </c>
      <c r="H3431" s="6"/>
    </row>
    <row r="3432" spans="1:8" hidden="1">
      <c r="A3432" s="5" t="s">
        <v>337</v>
      </c>
      <c r="H3432" s="6"/>
    </row>
    <row r="3433" spans="1:8" hidden="1">
      <c r="A3433" s="5" t="s">
        <v>338</v>
      </c>
      <c r="H3433" s="6"/>
    </row>
    <row r="3434" spans="1:8" hidden="1">
      <c r="A3434" s="6"/>
      <c r="H3434" s="6"/>
    </row>
    <row r="3435" spans="1:8" hidden="1">
      <c r="A3435" s="5" t="s">
        <v>151</v>
      </c>
      <c r="H3435" s="6"/>
    </row>
    <row r="3436" spans="1:8" hidden="1">
      <c r="A3436" s="5" t="s">
        <v>103</v>
      </c>
      <c r="H3436" s="6"/>
    </row>
    <row r="3437" spans="1:8" hidden="1">
      <c r="A3437" s="5" t="s">
        <v>152</v>
      </c>
      <c r="H3437" s="6"/>
    </row>
    <row r="3438" spans="1:8" hidden="1">
      <c r="A3438" s="5" t="s">
        <v>6</v>
      </c>
      <c r="H3438" s="6"/>
    </row>
    <row r="3439" spans="1:8" hidden="1">
      <c r="A3439" s="5" t="s">
        <v>153</v>
      </c>
      <c r="H3439" s="6"/>
    </row>
    <row r="3440" spans="1:8" hidden="1">
      <c r="A3440" s="5" t="s">
        <v>339</v>
      </c>
      <c r="H3440" s="6"/>
    </row>
    <row r="3441" spans="1:8" hidden="1">
      <c r="A3441" s="5" t="s">
        <v>340</v>
      </c>
      <c r="H3441" s="6"/>
    </row>
    <row r="3442" spans="1:8" hidden="1">
      <c r="A3442" s="6"/>
      <c r="H3442" s="6"/>
    </row>
    <row r="3443" spans="1:8" hidden="1">
      <c r="A3443" s="5" t="s">
        <v>19</v>
      </c>
      <c r="H3443" s="6"/>
    </row>
    <row r="3444" spans="1:8" hidden="1">
      <c r="A3444" s="5" t="s">
        <v>20</v>
      </c>
      <c r="H3444" s="6"/>
    </row>
    <row r="3445" spans="1:8" hidden="1">
      <c r="A3445" s="5" t="s">
        <v>21</v>
      </c>
      <c r="H3445" s="6"/>
    </row>
    <row r="3446" spans="1:8" hidden="1">
      <c r="A3446" s="5" t="s">
        <v>22</v>
      </c>
      <c r="H3446" s="6"/>
    </row>
    <row r="3447" spans="1:8" hidden="1">
      <c r="A3447" s="5" t="s">
        <v>23</v>
      </c>
      <c r="H3447" s="6"/>
    </row>
    <row r="3448" spans="1:8" hidden="1">
      <c r="A3448" s="5" t="s">
        <v>24</v>
      </c>
      <c r="H3448" s="6"/>
    </row>
    <row r="3449" spans="1:8" hidden="1">
      <c r="A3449" s="5" t="s">
        <v>25</v>
      </c>
      <c r="H3449" s="6"/>
    </row>
    <row r="3450" spans="1:8" hidden="1">
      <c r="A3450" s="5" t="s">
        <v>26</v>
      </c>
      <c r="H3450" s="6"/>
    </row>
    <row r="3451" spans="1:8" hidden="1">
      <c r="A3451" s="5" t="s">
        <v>27</v>
      </c>
      <c r="H3451" s="6"/>
    </row>
    <row r="3452" spans="1:8" hidden="1">
      <c r="A3452" s="5" t="s">
        <v>6</v>
      </c>
      <c r="H3452" s="6"/>
    </row>
    <row r="3453" spans="1:8" hidden="1">
      <c r="A3453" s="5" t="s">
        <v>28</v>
      </c>
      <c r="H3453" s="6"/>
    </row>
    <row r="3454" spans="1:8" hidden="1">
      <c r="A3454" s="5" t="s">
        <v>29</v>
      </c>
      <c r="H3454" s="6"/>
    </row>
    <row r="3455" spans="1:8" hidden="1">
      <c r="A3455" s="6"/>
      <c r="H3455" s="6"/>
    </row>
    <row r="3456" spans="1:8" hidden="1">
      <c r="A3456" s="6"/>
      <c r="H3456" s="6"/>
    </row>
    <row r="3457" spans="1:8" hidden="1">
      <c r="A3457" s="5" t="s">
        <v>6</v>
      </c>
      <c r="H3457" s="6"/>
    </row>
    <row r="3458" spans="1:8" hidden="1">
      <c r="A3458" s="5" t="s">
        <v>30</v>
      </c>
      <c r="H3458" s="6"/>
    </row>
    <row r="3459" spans="1:8" hidden="1">
      <c r="A3459" s="6"/>
      <c r="H3459" s="6"/>
    </row>
    <row r="3460" spans="1:8" hidden="1">
      <c r="A3460" s="5" t="s">
        <v>31</v>
      </c>
      <c r="H3460" s="6"/>
    </row>
    <row r="3461" spans="1:8" hidden="1">
      <c r="A3461" s="5" t="s">
        <v>32</v>
      </c>
      <c r="H3461" s="6"/>
    </row>
    <row r="3462" spans="1:8" hidden="1">
      <c r="A3462" s="5" t="s">
        <v>33</v>
      </c>
      <c r="H3462" s="6"/>
    </row>
    <row r="3463" spans="1:8" hidden="1">
      <c r="A3463" s="5" t="s">
        <v>34</v>
      </c>
      <c r="H3463" s="6"/>
    </row>
    <row r="3464" spans="1:8" hidden="1">
      <c r="A3464" s="5" t="s">
        <v>35</v>
      </c>
      <c r="H3464" s="6"/>
    </row>
    <row r="3465" spans="1:8" hidden="1">
      <c r="A3465" s="5" t="s">
        <v>36</v>
      </c>
      <c r="H3465" s="6"/>
    </row>
    <row r="3466" spans="1:8" hidden="1">
      <c r="A3466" s="5" t="s">
        <v>37</v>
      </c>
      <c r="H3466" s="6"/>
    </row>
    <row r="3467" spans="1:8" hidden="1">
      <c r="A3467" s="5" t="s">
        <v>38</v>
      </c>
      <c r="H3467" s="6"/>
    </row>
    <row r="3468" spans="1:8" hidden="1">
      <c r="A3468" s="5" t="s">
        <v>39</v>
      </c>
      <c r="H3468" s="6"/>
    </row>
    <row r="3469" spans="1:8" hidden="1">
      <c r="A3469" s="6"/>
      <c r="H3469" s="6"/>
    </row>
    <row r="3470" spans="1:8" hidden="1">
      <c r="A3470" s="5" t="s">
        <v>337</v>
      </c>
      <c r="H3470" s="6"/>
    </row>
    <row r="3471" spans="1:8" hidden="1">
      <c r="A3471" s="5" t="s">
        <v>338</v>
      </c>
      <c r="H3471" s="6"/>
    </row>
    <row r="3472" spans="1:8" hidden="1">
      <c r="A3472" s="6"/>
      <c r="H3472" s="6"/>
    </row>
    <row r="3473" spans="1:8" hidden="1">
      <c r="A3473" s="6"/>
      <c r="H3473" s="6"/>
    </row>
    <row r="3474" spans="1:8" hidden="1">
      <c r="A3474" s="6"/>
      <c r="H3474" s="6"/>
    </row>
    <row r="3475" spans="1:8" hidden="1">
      <c r="A3475" s="6"/>
      <c r="H3475" s="6"/>
    </row>
    <row r="3476" spans="1:8" hidden="1">
      <c r="A3476" s="5" t="s">
        <v>6</v>
      </c>
      <c r="H3476" s="6"/>
    </row>
    <row r="3477" spans="1:8" hidden="1">
      <c r="A3477" s="5" t="s">
        <v>40</v>
      </c>
      <c r="H3477" s="6"/>
    </row>
    <row r="3478" spans="1:8" hidden="1">
      <c r="A3478" s="6"/>
      <c r="H3478" s="6"/>
    </row>
    <row r="3479" spans="1:8" hidden="1">
      <c r="A3479" s="5" t="s">
        <v>41</v>
      </c>
      <c r="H3479" s="6"/>
    </row>
    <row r="3480" spans="1:8" hidden="1">
      <c r="A3480" s="6"/>
      <c r="H3480" s="6"/>
    </row>
    <row r="3481" spans="1:8" hidden="1">
      <c r="A3481" s="5" t="s">
        <v>42</v>
      </c>
      <c r="H3481" s="6"/>
    </row>
    <row r="3482" spans="1:8" hidden="1">
      <c r="A3482" s="6"/>
      <c r="H3482" s="6"/>
    </row>
    <row r="3483" spans="1:8" hidden="1">
      <c r="A3483" s="5" t="s">
        <v>43</v>
      </c>
      <c r="H3483" s="6"/>
    </row>
    <row r="3484" spans="1:8" hidden="1">
      <c r="A3484" s="5" t="s">
        <v>44</v>
      </c>
      <c r="H3484" s="6"/>
    </row>
    <row r="3485" spans="1:8" hidden="1">
      <c r="A3485" s="5" t="s">
        <v>45</v>
      </c>
      <c r="H3485" s="6"/>
    </row>
    <row r="3486" spans="1:8" hidden="1">
      <c r="A3486" s="5" t="s">
        <v>46</v>
      </c>
      <c r="H3486" s="6"/>
    </row>
    <row r="3487" spans="1:8" hidden="1">
      <c r="A3487" s="5" t="s">
        <v>47</v>
      </c>
      <c r="H3487" s="6"/>
    </row>
    <row r="3488" spans="1:8" hidden="1">
      <c r="A3488" s="5" t="s">
        <v>37</v>
      </c>
      <c r="H3488" s="6"/>
    </row>
    <row r="3489" spans="1:8" hidden="1">
      <c r="A3489" s="6"/>
      <c r="H3489" s="6"/>
    </row>
    <row r="3490" spans="1:8" hidden="1">
      <c r="A3490" s="5" t="s">
        <v>337</v>
      </c>
      <c r="H3490" s="6"/>
    </row>
    <row r="3491" spans="1:8" hidden="1">
      <c r="A3491" s="5" t="s">
        <v>338</v>
      </c>
      <c r="H3491" s="6"/>
    </row>
    <row r="3492" spans="1:8" hidden="1">
      <c r="A3492" s="6"/>
      <c r="H3492" s="6"/>
    </row>
    <row r="3493" spans="1:8" hidden="1">
      <c r="A3493" s="6"/>
      <c r="H3493" s="6"/>
    </row>
    <row r="3494" spans="1:8" hidden="1">
      <c r="A3494" s="5" t="s">
        <v>3</v>
      </c>
      <c r="H3494" s="6"/>
    </row>
    <row r="3495" spans="1:8" hidden="1">
      <c r="A3495" s="5" t="s">
        <v>4</v>
      </c>
      <c r="H3495" s="6"/>
    </row>
    <row r="3496" spans="1:8" hidden="1">
      <c r="A3496" s="5" t="s">
        <v>5</v>
      </c>
      <c r="H3496" s="6"/>
    </row>
    <row r="3497" spans="1:8" hidden="1">
      <c r="A3497" s="5" t="s">
        <v>6</v>
      </c>
      <c r="H3497" s="6"/>
    </row>
    <row r="3498" spans="1:8" hidden="1">
      <c r="A3498" s="5" t="s">
        <v>7</v>
      </c>
      <c r="H3498" s="6"/>
    </row>
    <row r="3499" spans="1:8" hidden="1">
      <c r="A3499" s="5" t="s">
        <v>6</v>
      </c>
      <c r="H3499" s="6"/>
    </row>
    <row r="3500" spans="1:8" hidden="1">
      <c r="A3500" s="5" t="s">
        <v>341</v>
      </c>
      <c r="H3500" s="6"/>
    </row>
    <row r="3501" spans="1:8" hidden="1">
      <c r="A3501" s="5" t="s">
        <v>342</v>
      </c>
      <c r="H3501" s="6"/>
    </row>
    <row r="3502" spans="1:8" hidden="1">
      <c r="A3502" s="6"/>
      <c r="H3502" s="6"/>
    </row>
    <row r="3503" spans="1:8" hidden="1">
      <c r="A3503" s="5" t="s">
        <v>12</v>
      </c>
      <c r="H3503" s="6"/>
    </row>
    <row r="3504" spans="1:8" hidden="1">
      <c r="A3504" s="5" t="s">
        <v>13</v>
      </c>
      <c r="H3504" s="6"/>
    </row>
    <row r="3505" spans="1:8" hidden="1">
      <c r="A3505" s="5" t="s">
        <v>200</v>
      </c>
      <c r="H3505" s="6"/>
    </row>
    <row r="3506" spans="1:8" hidden="1">
      <c r="A3506" s="5" t="s">
        <v>103</v>
      </c>
      <c r="H3506" s="6"/>
    </row>
    <row r="3507" spans="1:8" hidden="1">
      <c r="A3507" s="5" t="s">
        <v>6</v>
      </c>
      <c r="H3507" s="6"/>
    </row>
    <row r="3508" spans="1:8" hidden="1">
      <c r="A3508" s="5" t="s">
        <v>16</v>
      </c>
      <c r="H3508" s="6"/>
    </row>
    <row r="3509" spans="1:8" hidden="1">
      <c r="A3509" s="5" t="s">
        <v>17</v>
      </c>
      <c r="H3509" s="6"/>
    </row>
    <row r="3510" spans="1:8" hidden="1">
      <c r="A3510" s="6"/>
      <c r="H3510" s="6"/>
    </row>
    <row r="3511" spans="1:8" hidden="1">
      <c r="A3511" s="5" t="s">
        <v>18</v>
      </c>
      <c r="H3511" s="6"/>
    </row>
    <row r="3512" spans="1:8" hidden="1">
      <c r="A3512" s="7">
        <v>100000</v>
      </c>
      <c r="H3512" s="6"/>
    </row>
    <row r="3513" spans="1:8" hidden="1">
      <c r="A3513" s="6"/>
      <c r="H3513" s="6"/>
    </row>
    <row r="3514" spans="1:8" hidden="1">
      <c r="A3514" s="5" t="s">
        <v>19</v>
      </c>
      <c r="H3514" s="6"/>
    </row>
    <row r="3515" spans="1:8" hidden="1">
      <c r="A3515" s="5" t="s">
        <v>20</v>
      </c>
      <c r="H3515" s="6"/>
    </row>
    <row r="3516" spans="1:8" hidden="1">
      <c r="A3516" s="5" t="s">
        <v>21</v>
      </c>
      <c r="H3516" s="6"/>
    </row>
    <row r="3517" spans="1:8" hidden="1">
      <c r="A3517" s="5" t="s">
        <v>22</v>
      </c>
      <c r="H3517" s="6"/>
    </row>
    <row r="3518" spans="1:8" hidden="1">
      <c r="A3518" s="5" t="s">
        <v>23</v>
      </c>
      <c r="H3518" s="6"/>
    </row>
    <row r="3519" spans="1:8" hidden="1">
      <c r="A3519" s="5" t="s">
        <v>24</v>
      </c>
      <c r="H3519" s="6"/>
    </row>
    <row r="3520" spans="1:8" hidden="1">
      <c r="A3520" s="5" t="s">
        <v>25</v>
      </c>
      <c r="H3520" s="6"/>
    </row>
    <row r="3521" spans="1:8" hidden="1">
      <c r="A3521" s="5" t="s">
        <v>26</v>
      </c>
      <c r="H3521" s="6"/>
    </row>
    <row r="3522" spans="1:8" hidden="1">
      <c r="A3522" s="5" t="s">
        <v>27</v>
      </c>
      <c r="H3522" s="6"/>
    </row>
    <row r="3523" spans="1:8" hidden="1">
      <c r="A3523" s="5" t="s">
        <v>6</v>
      </c>
      <c r="H3523" s="6"/>
    </row>
    <row r="3524" spans="1:8" hidden="1">
      <c r="A3524" s="5" t="s">
        <v>28</v>
      </c>
      <c r="H3524" s="6"/>
    </row>
    <row r="3525" spans="1:8" hidden="1">
      <c r="A3525" s="5" t="s">
        <v>29</v>
      </c>
      <c r="H3525" s="6"/>
    </row>
    <row r="3526" spans="1:8" hidden="1">
      <c r="A3526" s="6"/>
      <c r="H3526" s="6"/>
    </row>
    <row r="3527" spans="1:8" hidden="1">
      <c r="A3527" s="6"/>
      <c r="H3527" s="6"/>
    </row>
    <row r="3528" spans="1:8" hidden="1">
      <c r="A3528" s="5" t="s">
        <v>6</v>
      </c>
      <c r="H3528" s="6"/>
    </row>
    <row r="3529" spans="1:8" hidden="1">
      <c r="A3529" s="5" t="s">
        <v>30</v>
      </c>
      <c r="H3529" s="6"/>
    </row>
    <row r="3530" spans="1:8" hidden="1">
      <c r="A3530" s="6"/>
      <c r="H3530" s="6"/>
    </row>
    <row r="3531" spans="1:8" hidden="1">
      <c r="A3531" s="5" t="s">
        <v>31</v>
      </c>
      <c r="H3531" s="6"/>
    </row>
    <row r="3532" spans="1:8" hidden="1">
      <c r="A3532" s="5" t="s">
        <v>32</v>
      </c>
      <c r="H3532" s="6"/>
    </row>
    <row r="3533" spans="1:8" hidden="1">
      <c r="A3533" s="5" t="s">
        <v>33</v>
      </c>
      <c r="H3533" s="6"/>
    </row>
    <row r="3534" spans="1:8" hidden="1">
      <c r="A3534" s="5" t="s">
        <v>34</v>
      </c>
      <c r="H3534" s="6"/>
    </row>
    <row r="3535" spans="1:8" hidden="1">
      <c r="A3535" s="5" t="s">
        <v>35</v>
      </c>
      <c r="H3535" s="6"/>
    </row>
    <row r="3536" spans="1:8" hidden="1">
      <c r="A3536" s="5" t="s">
        <v>36</v>
      </c>
      <c r="H3536" s="6"/>
    </row>
    <row r="3537" spans="1:8" hidden="1">
      <c r="A3537" s="5" t="s">
        <v>37</v>
      </c>
      <c r="H3537" s="6"/>
    </row>
    <row r="3538" spans="1:8" hidden="1">
      <c r="A3538" s="5" t="s">
        <v>38</v>
      </c>
      <c r="H3538" s="6"/>
    </row>
    <row r="3539" spans="1:8" hidden="1">
      <c r="A3539" s="5" t="s">
        <v>39</v>
      </c>
      <c r="H3539" s="6"/>
    </row>
    <row r="3540" spans="1:8" hidden="1">
      <c r="A3540" s="6"/>
      <c r="H3540" s="6"/>
    </row>
    <row r="3541" spans="1:8" hidden="1">
      <c r="A3541" s="5" t="s">
        <v>341</v>
      </c>
      <c r="H3541" s="6"/>
    </row>
    <row r="3542" spans="1:8" hidden="1">
      <c r="A3542" s="5" t="s">
        <v>342</v>
      </c>
      <c r="H3542" s="6"/>
    </row>
    <row r="3543" spans="1:8" hidden="1">
      <c r="A3543" s="6"/>
      <c r="H3543" s="6"/>
    </row>
    <row r="3544" spans="1:8" hidden="1">
      <c r="A3544" s="6"/>
      <c r="H3544" s="6"/>
    </row>
    <row r="3545" spans="1:8" hidden="1">
      <c r="A3545" s="6"/>
      <c r="H3545" s="6"/>
    </row>
    <row r="3546" spans="1:8" hidden="1">
      <c r="A3546" s="6"/>
      <c r="H3546" s="6"/>
    </row>
    <row r="3547" spans="1:8" hidden="1">
      <c r="A3547" s="5" t="s">
        <v>6</v>
      </c>
      <c r="H3547" s="6"/>
    </row>
    <row r="3548" spans="1:8" hidden="1">
      <c r="A3548" s="5" t="s">
        <v>40</v>
      </c>
      <c r="H3548" s="6"/>
    </row>
    <row r="3549" spans="1:8" hidden="1">
      <c r="A3549" s="6"/>
      <c r="H3549" s="6"/>
    </row>
    <row r="3550" spans="1:8" hidden="1">
      <c r="A3550" s="5" t="s">
        <v>41</v>
      </c>
      <c r="H3550" s="6"/>
    </row>
    <row r="3551" spans="1:8" hidden="1">
      <c r="A3551" s="6"/>
      <c r="H3551" s="6"/>
    </row>
    <row r="3552" spans="1:8" hidden="1">
      <c r="A3552" s="5" t="s">
        <v>42</v>
      </c>
      <c r="H3552" s="6"/>
    </row>
    <row r="3553" spans="1:8" hidden="1">
      <c r="A3553" s="6"/>
      <c r="H3553" s="6"/>
    </row>
    <row r="3554" spans="1:8" hidden="1">
      <c r="A3554" s="5" t="s">
        <v>43</v>
      </c>
      <c r="H3554" s="6"/>
    </row>
    <row r="3555" spans="1:8" hidden="1">
      <c r="A3555" s="5" t="s">
        <v>44</v>
      </c>
      <c r="H3555" s="6"/>
    </row>
    <row r="3556" spans="1:8" hidden="1">
      <c r="A3556" s="5" t="s">
        <v>45</v>
      </c>
      <c r="H3556" s="6"/>
    </row>
    <row r="3557" spans="1:8" hidden="1">
      <c r="A3557" s="5" t="s">
        <v>46</v>
      </c>
      <c r="H3557" s="6"/>
    </row>
    <row r="3558" spans="1:8" hidden="1">
      <c r="A3558" s="5" t="s">
        <v>47</v>
      </c>
      <c r="H3558" s="6"/>
    </row>
    <row r="3559" spans="1:8" hidden="1">
      <c r="A3559" s="5" t="s">
        <v>37</v>
      </c>
      <c r="H3559" s="6"/>
    </row>
    <row r="3560" spans="1:8" hidden="1">
      <c r="A3560" s="6"/>
      <c r="H3560" s="6"/>
    </row>
    <row r="3561" spans="1:8" hidden="1">
      <c r="A3561" s="5" t="s">
        <v>341</v>
      </c>
      <c r="H3561" s="6"/>
    </row>
    <row r="3562" spans="1:8" hidden="1">
      <c r="A3562" s="5" t="s">
        <v>342</v>
      </c>
      <c r="H3562" s="6"/>
    </row>
    <row r="3563" spans="1:8" hidden="1">
      <c r="A3563" s="6"/>
      <c r="H3563" s="6"/>
    </row>
    <row r="3564" spans="1:8" hidden="1">
      <c r="A3564" s="6"/>
      <c r="H3564" s="6"/>
    </row>
    <row r="3565" spans="1:8" hidden="1">
      <c r="A3565" s="5" t="s">
        <v>3</v>
      </c>
      <c r="H3565" s="6"/>
    </row>
    <row r="3566" spans="1:8" hidden="1">
      <c r="A3566" s="5" t="s">
        <v>4</v>
      </c>
      <c r="H3566" s="6"/>
    </row>
    <row r="3567" spans="1:8" hidden="1">
      <c r="A3567" s="5" t="s">
        <v>5</v>
      </c>
      <c r="H3567" s="6"/>
    </row>
    <row r="3568" spans="1:8" hidden="1">
      <c r="A3568" s="5" t="s">
        <v>6</v>
      </c>
      <c r="H3568" s="6"/>
    </row>
    <row r="3569" spans="1:8" hidden="1">
      <c r="A3569" s="5" t="s">
        <v>7</v>
      </c>
      <c r="H3569" s="6"/>
    </row>
    <row r="3570" spans="1:8" hidden="1">
      <c r="A3570" s="5" t="s">
        <v>6</v>
      </c>
      <c r="H3570" s="6"/>
    </row>
    <row r="3571" spans="1:8" hidden="1">
      <c r="A3571" s="5" t="s">
        <v>343</v>
      </c>
      <c r="H3571" s="6"/>
    </row>
    <row r="3572" spans="1:8" hidden="1">
      <c r="A3572" s="5" t="s">
        <v>344</v>
      </c>
      <c r="H3572" s="6"/>
    </row>
    <row r="3573" spans="1:8" hidden="1">
      <c r="A3573" s="6"/>
      <c r="H3573" s="6"/>
    </row>
    <row r="3574" spans="1:8" hidden="1">
      <c r="A3574" s="5" t="s">
        <v>345</v>
      </c>
      <c r="H3574" s="6"/>
    </row>
    <row r="3575" spans="1:8" hidden="1">
      <c r="A3575" s="5" t="s">
        <v>103</v>
      </c>
      <c r="H3575" s="6"/>
    </row>
    <row r="3576" spans="1:8" hidden="1">
      <c r="A3576" s="5" t="s">
        <v>152</v>
      </c>
      <c r="H3576" s="6"/>
    </row>
    <row r="3577" spans="1:8" hidden="1">
      <c r="A3577" s="5" t="s">
        <v>6</v>
      </c>
      <c r="H3577" s="6"/>
    </row>
    <row r="3578" spans="1:8" hidden="1">
      <c r="A3578" s="5" t="s">
        <v>346</v>
      </c>
      <c r="H3578" s="6"/>
    </row>
    <row r="3579" spans="1:8" hidden="1">
      <c r="A3579" s="5" t="s">
        <v>63</v>
      </c>
      <c r="H3579" s="6"/>
    </row>
    <row r="3580" spans="1:8" hidden="1">
      <c r="A3580" s="5" t="s">
        <v>347</v>
      </c>
      <c r="H3580" s="6"/>
    </row>
    <row r="3581" spans="1:8" hidden="1">
      <c r="A3581" s="6"/>
      <c r="H3581" s="6"/>
    </row>
    <row r="3582" spans="1:8" hidden="1">
      <c r="A3582" s="5" t="s">
        <v>19</v>
      </c>
      <c r="H3582" s="6"/>
    </row>
    <row r="3583" spans="1:8" hidden="1">
      <c r="A3583" s="5" t="s">
        <v>20</v>
      </c>
      <c r="H3583" s="6"/>
    </row>
    <row r="3584" spans="1:8" hidden="1">
      <c r="A3584" s="5" t="s">
        <v>21</v>
      </c>
      <c r="H3584" s="6"/>
    </row>
    <row r="3585" spans="1:8" hidden="1">
      <c r="A3585" s="5" t="s">
        <v>22</v>
      </c>
      <c r="H3585" s="6"/>
    </row>
    <row r="3586" spans="1:8" hidden="1">
      <c r="A3586" s="5" t="s">
        <v>23</v>
      </c>
      <c r="H3586" s="6"/>
    </row>
    <row r="3587" spans="1:8" hidden="1">
      <c r="A3587" s="5" t="s">
        <v>24</v>
      </c>
      <c r="H3587" s="6"/>
    </row>
    <row r="3588" spans="1:8" hidden="1">
      <c r="A3588" s="5" t="s">
        <v>25</v>
      </c>
      <c r="H3588" s="6"/>
    </row>
    <row r="3589" spans="1:8" hidden="1">
      <c r="A3589" s="5" t="s">
        <v>26</v>
      </c>
      <c r="H3589" s="6"/>
    </row>
    <row r="3590" spans="1:8" hidden="1">
      <c r="A3590" s="5" t="s">
        <v>27</v>
      </c>
      <c r="H3590" s="6"/>
    </row>
    <row r="3591" spans="1:8" hidden="1">
      <c r="A3591" s="5" t="s">
        <v>6</v>
      </c>
      <c r="H3591" s="6"/>
    </row>
    <row r="3592" spans="1:8" hidden="1">
      <c r="A3592" s="5" t="s">
        <v>28</v>
      </c>
      <c r="H3592" s="6"/>
    </row>
    <row r="3593" spans="1:8" hidden="1">
      <c r="A3593" s="5" t="s">
        <v>29</v>
      </c>
      <c r="H3593" s="6"/>
    </row>
    <row r="3594" spans="1:8" hidden="1">
      <c r="A3594" s="6"/>
      <c r="H3594" s="6"/>
    </row>
    <row r="3595" spans="1:8" hidden="1">
      <c r="A3595" s="6"/>
      <c r="H3595" s="6"/>
    </row>
    <row r="3596" spans="1:8" hidden="1">
      <c r="A3596" s="5" t="s">
        <v>6</v>
      </c>
      <c r="H3596" s="6"/>
    </row>
    <row r="3597" spans="1:8" hidden="1">
      <c r="A3597" s="5" t="s">
        <v>30</v>
      </c>
      <c r="H3597" s="6"/>
    </row>
    <row r="3598" spans="1:8" hidden="1">
      <c r="A3598" s="6"/>
      <c r="H3598" s="6"/>
    </row>
    <row r="3599" spans="1:8" hidden="1">
      <c r="A3599" s="5" t="s">
        <v>31</v>
      </c>
      <c r="H3599" s="6"/>
    </row>
    <row r="3600" spans="1:8" hidden="1">
      <c r="A3600" s="5" t="s">
        <v>32</v>
      </c>
      <c r="H3600" s="6"/>
    </row>
    <row r="3601" spans="1:8" hidden="1">
      <c r="A3601" s="5" t="s">
        <v>33</v>
      </c>
      <c r="H3601" s="6"/>
    </row>
    <row r="3602" spans="1:8" hidden="1">
      <c r="A3602" s="5" t="s">
        <v>34</v>
      </c>
      <c r="H3602" s="6"/>
    </row>
    <row r="3603" spans="1:8" hidden="1">
      <c r="A3603" s="5" t="s">
        <v>35</v>
      </c>
      <c r="H3603" s="6"/>
    </row>
    <row r="3604" spans="1:8" hidden="1">
      <c r="A3604" s="5" t="s">
        <v>36</v>
      </c>
      <c r="H3604" s="6"/>
    </row>
    <row r="3605" spans="1:8" hidden="1">
      <c r="A3605" s="5" t="s">
        <v>37</v>
      </c>
      <c r="H3605" s="6"/>
    </row>
    <row r="3606" spans="1:8" hidden="1">
      <c r="A3606" s="5" t="s">
        <v>38</v>
      </c>
      <c r="H3606" s="6"/>
    </row>
    <row r="3607" spans="1:8" hidden="1">
      <c r="A3607" s="5" t="s">
        <v>39</v>
      </c>
      <c r="H3607" s="6"/>
    </row>
    <row r="3608" spans="1:8" hidden="1">
      <c r="A3608" s="6"/>
      <c r="H3608" s="6"/>
    </row>
    <row r="3609" spans="1:8" hidden="1">
      <c r="A3609" s="5" t="s">
        <v>343</v>
      </c>
      <c r="H3609" s="6"/>
    </row>
    <row r="3610" spans="1:8" hidden="1">
      <c r="A3610" s="5" t="s">
        <v>344</v>
      </c>
      <c r="H3610" s="6"/>
    </row>
    <row r="3611" spans="1:8" hidden="1">
      <c r="A3611" s="6"/>
      <c r="H3611" s="6"/>
    </row>
    <row r="3612" spans="1:8" hidden="1">
      <c r="A3612" s="6"/>
      <c r="H3612" s="6"/>
    </row>
    <row r="3613" spans="1:8" hidden="1">
      <c r="A3613" s="6"/>
      <c r="H3613" s="6"/>
    </row>
    <row r="3614" spans="1:8" hidden="1">
      <c r="A3614" s="6"/>
      <c r="H3614" s="6"/>
    </row>
    <row r="3615" spans="1:8" hidden="1">
      <c r="A3615" s="5" t="s">
        <v>6</v>
      </c>
      <c r="H3615" s="6"/>
    </row>
    <row r="3616" spans="1:8" hidden="1">
      <c r="A3616" s="5" t="s">
        <v>40</v>
      </c>
      <c r="H3616" s="6"/>
    </row>
    <row r="3617" spans="1:8" hidden="1">
      <c r="A3617" s="6"/>
      <c r="H3617" s="6"/>
    </row>
    <row r="3618" spans="1:8" hidden="1">
      <c r="A3618" s="5" t="s">
        <v>41</v>
      </c>
      <c r="H3618" s="6"/>
    </row>
    <row r="3619" spans="1:8" hidden="1">
      <c r="A3619" s="6"/>
      <c r="H3619" s="6"/>
    </row>
    <row r="3620" spans="1:8" hidden="1">
      <c r="A3620" s="5" t="s">
        <v>42</v>
      </c>
      <c r="H3620" s="6"/>
    </row>
    <row r="3621" spans="1:8" hidden="1">
      <c r="A3621" s="6"/>
      <c r="H3621" s="6"/>
    </row>
    <row r="3622" spans="1:8" hidden="1">
      <c r="A3622" s="5" t="s">
        <v>43</v>
      </c>
      <c r="H3622" s="6"/>
    </row>
    <row r="3623" spans="1:8" hidden="1">
      <c r="A3623" s="5" t="s">
        <v>44</v>
      </c>
      <c r="H3623" s="6"/>
    </row>
    <row r="3624" spans="1:8" hidden="1">
      <c r="A3624" s="5" t="s">
        <v>45</v>
      </c>
      <c r="H3624" s="6"/>
    </row>
    <row r="3625" spans="1:8" hidden="1">
      <c r="A3625" s="5" t="s">
        <v>46</v>
      </c>
      <c r="H3625" s="6"/>
    </row>
    <row r="3626" spans="1:8" hidden="1">
      <c r="A3626" s="5" t="s">
        <v>47</v>
      </c>
      <c r="H3626" s="6"/>
    </row>
    <row r="3627" spans="1:8" hidden="1">
      <c r="A3627" s="5" t="s">
        <v>37</v>
      </c>
      <c r="H3627" s="6"/>
    </row>
    <row r="3628" spans="1:8" hidden="1">
      <c r="A3628" s="6"/>
      <c r="H3628" s="6"/>
    </row>
    <row r="3629" spans="1:8" hidden="1">
      <c r="A3629" s="5" t="s">
        <v>343</v>
      </c>
      <c r="H3629" s="6"/>
    </row>
    <row r="3630" spans="1:8" hidden="1">
      <c r="A3630" s="5" t="s">
        <v>344</v>
      </c>
      <c r="H3630" s="6"/>
    </row>
    <row r="3631" spans="1:8" hidden="1">
      <c r="A3631" s="6"/>
      <c r="H3631" s="6"/>
    </row>
    <row r="3632" spans="1:8" hidden="1">
      <c r="A3632" s="6"/>
      <c r="H3632" s="6"/>
    </row>
    <row r="3633" spans="1:8" hidden="1">
      <c r="A3633" s="5" t="s">
        <v>3</v>
      </c>
      <c r="H3633" s="6"/>
    </row>
    <row r="3634" spans="1:8" hidden="1">
      <c r="A3634" s="5" t="s">
        <v>4</v>
      </c>
      <c r="H3634" s="6"/>
    </row>
    <row r="3635" spans="1:8" hidden="1">
      <c r="A3635" s="5" t="s">
        <v>5</v>
      </c>
      <c r="H3635" s="6"/>
    </row>
    <row r="3636" spans="1:8" hidden="1">
      <c r="A3636" s="5" t="s">
        <v>6</v>
      </c>
      <c r="H3636" s="6"/>
    </row>
    <row r="3637" spans="1:8" hidden="1">
      <c r="A3637" s="5" t="s">
        <v>7</v>
      </c>
      <c r="H3637" s="6"/>
    </row>
    <row r="3638" spans="1:8" hidden="1">
      <c r="A3638" s="5" t="s">
        <v>6</v>
      </c>
      <c r="H3638" s="6"/>
    </row>
    <row r="3639" spans="1:8" hidden="1">
      <c r="A3639" s="5" t="s">
        <v>348</v>
      </c>
      <c r="H3639" s="6"/>
    </row>
    <row r="3640" spans="1:8" hidden="1">
      <c r="A3640" s="5" t="s">
        <v>349</v>
      </c>
      <c r="H3640" s="6"/>
    </row>
    <row r="3641" spans="1:8" hidden="1">
      <c r="A3641" s="6"/>
      <c r="H3641" s="6"/>
    </row>
    <row r="3642" spans="1:8" hidden="1">
      <c r="A3642" s="5" t="s">
        <v>109</v>
      </c>
      <c r="H3642" s="6"/>
    </row>
    <row r="3643" spans="1:8" hidden="1">
      <c r="A3643" s="5" t="s">
        <v>15</v>
      </c>
      <c r="H3643" s="6"/>
    </row>
    <row r="3644" spans="1:8" hidden="1">
      <c r="A3644" s="5" t="s">
        <v>6</v>
      </c>
      <c r="H3644" s="6"/>
    </row>
    <row r="3645" spans="1:8" hidden="1">
      <c r="A3645" s="5" t="s">
        <v>110</v>
      </c>
      <c r="H3645" s="6"/>
    </row>
    <row r="3646" spans="1:8" hidden="1">
      <c r="A3646" s="5" t="s">
        <v>17</v>
      </c>
      <c r="H3646" s="6"/>
    </row>
    <row r="3647" spans="1:8" hidden="1">
      <c r="A3647" s="5" t="s">
        <v>111</v>
      </c>
      <c r="H3647" s="6"/>
    </row>
    <row r="3648" spans="1:8" hidden="1">
      <c r="A3648" s="6"/>
      <c r="H3648" s="6"/>
    </row>
    <row r="3649" spans="1:8" hidden="1">
      <c r="A3649" s="5" t="s">
        <v>19</v>
      </c>
      <c r="H3649" s="6"/>
    </row>
    <row r="3650" spans="1:8" hidden="1">
      <c r="A3650" s="5" t="s">
        <v>20</v>
      </c>
      <c r="H3650" s="6"/>
    </row>
    <row r="3651" spans="1:8" hidden="1">
      <c r="A3651" s="5" t="s">
        <v>21</v>
      </c>
      <c r="H3651" s="6"/>
    </row>
    <row r="3652" spans="1:8" hidden="1">
      <c r="A3652" s="5" t="s">
        <v>22</v>
      </c>
      <c r="H3652" s="6"/>
    </row>
    <row r="3653" spans="1:8" hidden="1">
      <c r="A3653" s="5" t="s">
        <v>23</v>
      </c>
      <c r="H3653" s="6"/>
    </row>
    <row r="3654" spans="1:8" hidden="1">
      <c r="A3654" s="5" t="s">
        <v>24</v>
      </c>
      <c r="H3654" s="6"/>
    </row>
    <row r="3655" spans="1:8" hidden="1">
      <c r="A3655" s="5" t="s">
        <v>25</v>
      </c>
      <c r="H3655" s="6"/>
    </row>
    <row r="3656" spans="1:8" hidden="1">
      <c r="A3656" s="5" t="s">
        <v>26</v>
      </c>
      <c r="H3656" s="6"/>
    </row>
    <row r="3657" spans="1:8" hidden="1">
      <c r="A3657" s="5" t="s">
        <v>27</v>
      </c>
      <c r="H3657" s="6"/>
    </row>
    <row r="3658" spans="1:8" hidden="1">
      <c r="A3658" s="5" t="s">
        <v>6</v>
      </c>
      <c r="H3658" s="6"/>
    </row>
    <row r="3659" spans="1:8" hidden="1">
      <c r="A3659" s="5" t="s">
        <v>28</v>
      </c>
      <c r="H3659" s="6"/>
    </row>
    <row r="3660" spans="1:8" hidden="1">
      <c r="A3660" s="5" t="s">
        <v>29</v>
      </c>
      <c r="H3660" s="6"/>
    </row>
    <row r="3661" spans="1:8" hidden="1">
      <c r="A3661" s="6"/>
      <c r="H3661" s="6"/>
    </row>
    <row r="3662" spans="1:8" hidden="1">
      <c r="A3662" s="6"/>
      <c r="H3662" s="6"/>
    </row>
    <row r="3663" spans="1:8" hidden="1">
      <c r="A3663" s="5" t="s">
        <v>6</v>
      </c>
      <c r="H3663" s="6"/>
    </row>
    <row r="3664" spans="1:8" hidden="1">
      <c r="A3664" s="5" t="s">
        <v>30</v>
      </c>
      <c r="H3664" s="6"/>
    </row>
    <row r="3665" spans="1:8" hidden="1">
      <c r="A3665" s="6"/>
      <c r="H3665" s="6"/>
    </row>
    <row r="3666" spans="1:8" hidden="1">
      <c r="A3666" s="5" t="s">
        <v>31</v>
      </c>
      <c r="H3666" s="6"/>
    </row>
    <row r="3667" spans="1:8" hidden="1">
      <c r="A3667" s="5" t="s">
        <v>32</v>
      </c>
      <c r="H3667" s="6"/>
    </row>
    <row r="3668" spans="1:8" hidden="1">
      <c r="A3668" s="5" t="s">
        <v>33</v>
      </c>
      <c r="H3668" s="6"/>
    </row>
    <row r="3669" spans="1:8" hidden="1">
      <c r="A3669" s="5" t="s">
        <v>34</v>
      </c>
      <c r="H3669" s="6"/>
    </row>
    <row r="3670" spans="1:8" hidden="1">
      <c r="A3670" s="5" t="s">
        <v>35</v>
      </c>
      <c r="H3670" s="6"/>
    </row>
    <row r="3671" spans="1:8" hidden="1">
      <c r="A3671" s="5" t="s">
        <v>36</v>
      </c>
      <c r="H3671" s="6"/>
    </row>
    <row r="3672" spans="1:8" hidden="1">
      <c r="A3672" s="5" t="s">
        <v>37</v>
      </c>
      <c r="H3672" s="6"/>
    </row>
    <row r="3673" spans="1:8" hidden="1">
      <c r="A3673" s="5" t="s">
        <v>38</v>
      </c>
      <c r="H3673" s="6"/>
    </row>
    <row r="3674" spans="1:8" hidden="1">
      <c r="A3674" s="5" t="s">
        <v>39</v>
      </c>
      <c r="H3674" s="6"/>
    </row>
    <row r="3675" spans="1:8" hidden="1">
      <c r="A3675" s="6"/>
      <c r="H3675" s="6"/>
    </row>
    <row r="3676" spans="1:8" hidden="1">
      <c r="A3676" s="5" t="s">
        <v>348</v>
      </c>
      <c r="H3676" s="6"/>
    </row>
    <row r="3677" spans="1:8" hidden="1">
      <c r="A3677" s="5" t="s">
        <v>349</v>
      </c>
      <c r="H3677" s="6"/>
    </row>
    <row r="3678" spans="1:8" hidden="1">
      <c r="A3678" s="6"/>
      <c r="H3678" s="6"/>
    </row>
    <row r="3679" spans="1:8" hidden="1">
      <c r="A3679" s="6"/>
      <c r="H3679" s="6"/>
    </row>
    <row r="3680" spans="1:8" hidden="1">
      <c r="A3680" s="5" t="s">
        <v>3</v>
      </c>
      <c r="H3680" s="6"/>
    </row>
    <row r="3681" spans="1:8" hidden="1">
      <c r="A3681" s="5" t="s">
        <v>4</v>
      </c>
      <c r="H3681" s="6"/>
    </row>
    <row r="3682" spans="1:8" hidden="1">
      <c r="A3682" s="5" t="s">
        <v>5</v>
      </c>
      <c r="H3682" s="6"/>
    </row>
    <row r="3683" spans="1:8" hidden="1">
      <c r="A3683" s="5" t="s">
        <v>6</v>
      </c>
      <c r="H3683" s="6"/>
    </row>
    <row r="3684" spans="1:8" hidden="1">
      <c r="A3684" s="5" t="s">
        <v>7</v>
      </c>
      <c r="H3684" s="6"/>
    </row>
    <row r="3685" spans="1:8" hidden="1">
      <c r="A3685" s="5" t="s">
        <v>6</v>
      </c>
      <c r="H3685" s="6"/>
    </row>
    <row r="3686" spans="1:8" hidden="1">
      <c r="A3686" s="5" t="s">
        <v>350</v>
      </c>
      <c r="H3686" s="6"/>
    </row>
    <row r="3687" spans="1:8" hidden="1">
      <c r="A3687" s="5" t="s">
        <v>351</v>
      </c>
      <c r="H3687" s="6"/>
    </row>
    <row r="3688" spans="1:8" hidden="1">
      <c r="A3688" s="6"/>
      <c r="H3688" s="6"/>
    </row>
    <row r="3689" spans="1:8" hidden="1">
      <c r="A3689" s="5" t="s">
        <v>12</v>
      </c>
      <c r="H3689" s="6"/>
    </row>
    <row r="3690" spans="1:8" hidden="1">
      <c r="A3690" s="5" t="s">
        <v>13</v>
      </c>
      <c r="H3690" s="6"/>
    </row>
    <row r="3691" spans="1:8" hidden="1">
      <c r="A3691" s="5" t="s">
        <v>200</v>
      </c>
      <c r="H3691" s="6"/>
    </row>
    <row r="3692" spans="1:8" hidden="1">
      <c r="A3692" s="5" t="s">
        <v>15</v>
      </c>
      <c r="H3692" s="6"/>
    </row>
    <row r="3693" spans="1:8" hidden="1">
      <c r="A3693" s="5" t="s">
        <v>6</v>
      </c>
      <c r="H3693" s="6"/>
    </row>
    <row r="3694" spans="1:8" hidden="1">
      <c r="A3694" s="5" t="s">
        <v>16</v>
      </c>
      <c r="H3694" s="6"/>
    </row>
    <row r="3695" spans="1:8" hidden="1">
      <c r="A3695" s="5" t="s">
        <v>17</v>
      </c>
      <c r="H3695" s="6"/>
    </row>
    <row r="3696" spans="1:8" hidden="1">
      <c r="A3696" s="5" t="s">
        <v>352</v>
      </c>
      <c r="H3696" s="6"/>
    </row>
    <row r="3697" spans="1:8" hidden="1">
      <c r="A3697" s="6"/>
      <c r="H3697" s="6"/>
    </row>
    <row r="3698" spans="1:8" hidden="1">
      <c r="A3698" s="5" t="s">
        <v>18</v>
      </c>
      <c r="H3698" s="6"/>
    </row>
    <row r="3699" spans="1:8" hidden="1">
      <c r="A3699" s="7">
        <v>100000</v>
      </c>
      <c r="H3699" s="6"/>
    </row>
    <row r="3700" spans="1:8" hidden="1">
      <c r="A3700" s="6"/>
      <c r="H3700" s="6"/>
    </row>
    <row r="3701" spans="1:8" hidden="1">
      <c r="A3701" s="5" t="s">
        <v>19</v>
      </c>
      <c r="H3701" s="6"/>
    </row>
    <row r="3702" spans="1:8" hidden="1">
      <c r="A3702" s="5" t="s">
        <v>20</v>
      </c>
      <c r="H3702" s="6"/>
    </row>
    <row r="3703" spans="1:8" hidden="1">
      <c r="A3703" s="5" t="s">
        <v>21</v>
      </c>
      <c r="H3703" s="6"/>
    </row>
    <row r="3704" spans="1:8" hidden="1">
      <c r="A3704" s="5" t="s">
        <v>22</v>
      </c>
      <c r="H3704" s="6"/>
    </row>
    <row r="3705" spans="1:8" hidden="1">
      <c r="A3705" s="5" t="s">
        <v>23</v>
      </c>
      <c r="H3705" s="6"/>
    </row>
    <row r="3706" spans="1:8" hidden="1">
      <c r="A3706" s="5" t="s">
        <v>24</v>
      </c>
      <c r="H3706" s="6"/>
    </row>
    <row r="3707" spans="1:8" hidden="1">
      <c r="A3707" s="5" t="s">
        <v>25</v>
      </c>
      <c r="H3707" s="6"/>
    </row>
    <row r="3708" spans="1:8" hidden="1">
      <c r="A3708" s="5" t="s">
        <v>26</v>
      </c>
      <c r="H3708" s="6"/>
    </row>
    <row r="3709" spans="1:8" hidden="1">
      <c r="A3709" s="5" t="s">
        <v>27</v>
      </c>
      <c r="H3709" s="6"/>
    </row>
    <row r="3710" spans="1:8" hidden="1">
      <c r="A3710" s="5" t="s">
        <v>6</v>
      </c>
      <c r="H3710" s="6"/>
    </row>
    <row r="3711" spans="1:8" hidden="1">
      <c r="A3711" s="5" t="s">
        <v>28</v>
      </c>
      <c r="H3711" s="6"/>
    </row>
    <row r="3712" spans="1:8" hidden="1">
      <c r="A3712" s="5" t="s">
        <v>29</v>
      </c>
      <c r="H3712" s="6"/>
    </row>
    <row r="3713" spans="1:8" hidden="1">
      <c r="A3713" s="6"/>
      <c r="H3713" s="6"/>
    </row>
    <row r="3714" spans="1:8" hidden="1">
      <c r="A3714" s="6"/>
      <c r="H3714" s="6"/>
    </row>
    <row r="3715" spans="1:8" hidden="1">
      <c r="A3715" s="5" t="s">
        <v>6</v>
      </c>
      <c r="H3715" s="6"/>
    </row>
    <row r="3716" spans="1:8" hidden="1">
      <c r="A3716" s="5" t="s">
        <v>30</v>
      </c>
      <c r="H3716" s="6"/>
    </row>
    <row r="3717" spans="1:8" hidden="1">
      <c r="A3717" s="6"/>
      <c r="H3717" s="6"/>
    </row>
    <row r="3718" spans="1:8" hidden="1">
      <c r="A3718" s="5" t="s">
        <v>31</v>
      </c>
      <c r="H3718" s="6"/>
    </row>
    <row r="3719" spans="1:8" hidden="1">
      <c r="A3719" s="5" t="s">
        <v>32</v>
      </c>
      <c r="H3719" s="6"/>
    </row>
    <row r="3720" spans="1:8" hidden="1">
      <c r="A3720" s="5" t="s">
        <v>33</v>
      </c>
      <c r="H3720" s="6"/>
    </row>
    <row r="3721" spans="1:8" hidden="1">
      <c r="A3721" s="5" t="s">
        <v>34</v>
      </c>
      <c r="H3721" s="6"/>
    </row>
    <row r="3722" spans="1:8" hidden="1">
      <c r="A3722" s="5" t="s">
        <v>35</v>
      </c>
      <c r="H3722" s="6"/>
    </row>
    <row r="3723" spans="1:8" hidden="1">
      <c r="A3723" s="5" t="s">
        <v>36</v>
      </c>
      <c r="H3723" s="6"/>
    </row>
    <row r="3724" spans="1:8" hidden="1">
      <c r="A3724" s="5" t="s">
        <v>37</v>
      </c>
      <c r="H3724" s="6"/>
    </row>
    <row r="3725" spans="1:8" hidden="1">
      <c r="A3725" s="5" t="s">
        <v>38</v>
      </c>
      <c r="H3725" s="6"/>
    </row>
    <row r="3726" spans="1:8" hidden="1">
      <c r="A3726" s="5" t="s">
        <v>39</v>
      </c>
      <c r="H3726" s="6"/>
    </row>
    <row r="3727" spans="1:8" hidden="1">
      <c r="A3727" s="6"/>
      <c r="H3727" s="6"/>
    </row>
    <row r="3728" spans="1:8" hidden="1">
      <c r="A3728" s="5" t="s">
        <v>350</v>
      </c>
      <c r="H3728" s="6"/>
    </row>
    <row r="3729" spans="1:8" hidden="1">
      <c r="A3729" s="5" t="s">
        <v>351</v>
      </c>
      <c r="H3729" s="6"/>
    </row>
    <row r="3730" spans="1:8" hidden="1">
      <c r="A3730" s="6"/>
      <c r="H3730" s="6"/>
    </row>
    <row r="3731" spans="1:8" hidden="1">
      <c r="A3731" s="6"/>
      <c r="H3731" s="6"/>
    </row>
    <row r="3732" spans="1:8" hidden="1">
      <c r="A3732" s="6"/>
      <c r="H3732" s="6"/>
    </row>
    <row r="3733" spans="1:8" hidden="1">
      <c r="A3733" s="6"/>
      <c r="H3733" s="6"/>
    </row>
    <row r="3734" spans="1:8" hidden="1">
      <c r="A3734" s="5" t="s">
        <v>6</v>
      </c>
      <c r="H3734" s="6"/>
    </row>
    <row r="3735" spans="1:8" hidden="1">
      <c r="A3735" s="5" t="s">
        <v>40</v>
      </c>
      <c r="H3735" s="6"/>
    </row>
    <row r="3736" spans="1:8" hidden="1">
      <c r="A3736" s="6"/>
      <c r="H3736" s="6"/>
    </row>
    <row r="3737" spans="1:8" hidden="1">
      <c r="A3737" s="5" t="s">
        <v>41</v>
      </c>
      <c r="H3737" s="6"/>
    </row>
    <row r="3738" spans="1:8" hidden="1">
      <c r="A3738" s="6"/>
      <c r="H3738" s="6"/>
    </row>
    <row r="3739" spans="1:8" hidden="1">
      <c r="A3739" s="5" t="s">
        <v>42</v>
      </c>
      <c r="H3739" s="6"/>
    </row>
    <row r="3740" spans="1:8" hidden="1">
      <c r="A3740" s="6"/>
      <c r="H3740" s="6"/>
    </row>
    <row r="3741" spans="1:8" hidden="1">
      <c r="A3741" s="5" t="s">
        <v>43</v>
      </c>
      <c r="H3741" s="6"/>
    </row>
    <row r="3742" spans="1:8" hidden="1">
      <c r="A3742" s="5" t="s">
        <v>44</v>
      </c>
      <c r="H3742" s="6"/>
    </row>
    <row r="3743" spans="1:8" hidden="1">
      <c r="A3743" s="5" t="s">
        <v>45</v>
      </c>
      <c r="H3743" s="6"/>
    </row>
    <row r="3744" spans="1:8" hidden="1">
      <c r="A3744" s="5" t="s">
        <v>46</v>
      </c>
      <c r="H3744" s="6"/>
    </row>
    <row r="3745" spans="1:8" hidden="1">
      <c r="A3745" s="5" t="s">
        <v>47</v>
      </c>
      <c r="H3745" s="6"/>
    </row>
    <row r="3746" spans="1:8" hidden="1">
      <c r="A3746" s="5" t="s">
        <v>37</v>
      </c>
      <c r="H3746" s="6"/>
    </row>
    <row r="3747" spans="1:8" hidden="1">
      <c r="A3747" s="6"/>
      <c r="H3747" s="6"/>
    </row>
    <row r="3748" spans="1:8" hidden="1">
      <c r="A3748" s="5" t="s">
        <v>350</v>
      </c>
      <c r="H3748" s="6"/>
    </row>
    <row r="3749" spans="1:8" hidden="1">
      <c r="A3749" s="5" t="s">
        <v>351</v>
      </c>
      <c r="H3749" s="6"/>
    </row>
    <row r="3750" spans="1:8" hidden="1">
      <c r="A3750" s="6"/>
      <c r="H3750" s="6"/>
    </row>
    <row r="3751" spans="1:8" hidden="1">
      <c r="A3751" s="6"/>
      <c r="H3751" s="6"/>
    </row>
    <row r="3752" spans="1:8" hidden="1">
      <c r="A3752" s="5" t="s">
        <v>3</v>
      </c>
      <c r="H3752" s="6"/>
    </row>
    <row r="3753" spans="1:8" hidden="1">
      <c r="A3753" s="5" t="s">
        <v>4</v>
      </c>
      <c r="H3753" s="6"/>
    </row>
    <row r="3754" spans="1:8" hidden="1">
      <c r="A3754" s="5" t="s">
        <v>5</v>
      </c>
      <c r="H3754" s="6"/>
    </row>
    <row r="3755" spans="1:8" hidden="1">
      <c r="A3755" s="5" t="s">
        <v>6</v>
      </c>
      <c r="H3755" s="6"/>
    </row>
    <row r="3756" spans="1:8" hidden="1">
      <c r="A3756" s="5" t="s">
        <v>7</v>
      </c>
      <c r="H3756" s="6"/>
    </row>
    <row r="3757" spans="1:8" hidden="1">
      <c r="A3757" s="5" t="s">
        <v>6</v>
      </c>
      <c r="H3757" s="6"/>
    </row>
    <row r="3758" spans="1:8" hidden="1">
      <c r="A3758" s="5" t="s">
        <v>353</v>
      </c>
      <c r="H3758" s="6"/>
    </row>
    <row r="3759" spans="1:8" hidden="1">
      <c r="A3759" s="5" t="s">
        <v>354</v>
      </c>
      <c r="H3759" s="6"/>
    </row>
    <row r="3760" spans="1:8" hidden="1">
      <c r="A3760" s="6"/>
      <c r="H3760" s="6"/>
    </row>
    <row r="3761" spans="1:8" hidden="1">
      <c r="A3761" s="5" t="s">
        <v>151</v>
      </c>
      <c r="H3761" s="6"/>
    </row>
    <row r="3762" spans="1:8" hidden="1">
      <c r="A3762" s="5" t="s">
        <v>15</v>
      </c>
      <c r="H3762" s="6"/>
    </row>
    <row r="3763" spans="1:8" hidden="1">
      <c r="A3763" s="5" t="s">
        <v>6</v>
      </c>
      <c r="H3763" s="6"/>
    </row>
    <row r="3764" spans="1:8" hidden="1">
      <c r="A3764" s="5" t="s">
        <v>355</v>
      </c>
      <c r="H3764" s="6"/>
    </row>
    <row r="3765" spans="1:8" hidden="1">
      <c r="A3765" s="5" t="s">
        <v>356</v>
      </c>
      <c r="H3765" s="6"/>
    </row>
    <row r="3766" spans="1:8" hidden="1">
      <c r="A3766" s="6"/>
      <c r="H3766" s="6"/>
    </row>
    <row r="3767" spans="1:8" hidden="1">
      <c r="A3767" s="5" t="s">
        <v>19</v>
      </c>
      <c r="H3767" s="6"/>
    </row>
    <row r="3768" spans="1:8" hidden="1">
      <c r="A3768" s="5" t="s">
        <v>20</v>
      </c>
      <c r="H3768" s="6"/>
    </row>
    <row r="3769" spans="1:8" hidden="1">
      <c r="A3769" s="5" t="s">
        <v>21</v>
      </c>
      <c r="H3769" s="6"/>
    </row>
    <row r="3770" spans="1:8" hidden="1">
      <c r="A3770" s="5" t="s">
        <v>22</v>
      </c>
      <c r="H3770" s="6"/>
    </row>
    <row r="3771" spans="1:8" hidden="1">
      <c r="A3771" s="5" t="s">
        <v>23</v>
      </c>
      <c r="H3771" s="6"/>
    </row>
    <row r="3772" spans="1:8" hidden="1">
      <c r="A3772" s="5" t="s">
        <v>24</v>
      </c>
      <c r="H3772" s="6"/>
    </row>
    <row r="3773" spans="1:8" hidden="1">
      <c r="A3773" s="5" t="s">
        <v>25</v>
      </c>
      <c r="H3773" s="6"/>
    </row>
    <row r="3774" spans="1:8" hidden="1">
      <c r="A3774" s="5" t="s">
        <v>26</v>
      </c>
      <c r="H3774" s="6"/>
    </row>
    <row r="3775" spans="1:8" hidden="1">
      <c r="A3775" s="5" t="s">
        <v>27</v>
      </c>
      <c r="H3775" s="6"/>
    </row>
    <row r="3776" spans="1:8" hidden="1">
      <c r="A3776" s="5" t="s">
        <v>6</v>
      </c>
      <c r="H3776" s="6"/>
    </row>
    <row r="3777" spans="1:8" hidden="1">
      <c r="A3777" s="5" t="s">
        <v>28</v>
      </c>
      <c r="H3777" s="6"/>
    </row>
    <row r="3778" spans="1:8" hidden="1">
      <c r="A3778" s="5" t="s">
        <v>29</v>
      </c>
      <c r="H3778" s="6"/>
    </row>
    <row r="3779" spans="1:8" hidden="1">
      <c r="A3779" s="6"/>
      <c r="H3779" s="6"/>
    </row>
    <row r="3780" spans="1:8" hidden="1">
      <c r="A3780" s="6"/>
      <c r="H3780" s="6"/>
    </row>
    <row r="3781" spans="1:8" hidden="1">
      <c r="A3781" s="5" t="s">
        <v>6</v>
      </c>
      <c r="H3781" s="6"/>
    </row>
    <row r="3782" spans="1:8" hidden="1">
      <c r="A3782" s="5" t="s">
        <v>30</v>
      </c>
      <c r="H3782" s="6"/>
    </row>
    <row r="3783" spans="1:8" hidden="1">
      <c r="A3783" s="6"/>
      <c r="H3783" s="6"/>
    </row>
    <row r="3784" spans="1:8" hidden="1">
      <c r="A3784" s="5" t="s">
        <v>31</v>
      </c>
      <c r="H3784" s="6"/>
    </row>
    <row r="3785" spans="1:8" hidden="1">
      <c r="A3785" s="5" t="s">
        <v>32</v>
      </c>
      <c r="H3785" s="6"/>
    </row>
    <row r="3786" spans="1:8" hidden="1">
      <c r="A3786" s="5" t="s">
        <v>33</v>
      </c>
      <c r="H3786" s="6"/>
    </row>
    <row r="3787" spans="1:8" hidden="1">
      <c r="A3787" s="5" t="s">
        <v>34</v>
      </c>
      <c r="H3787" s="6"/>
    </row>
    <row r="3788" spans="1:8" hidden="1">
      <c r="A3788" s="5" t="s">
        <v>35</v>
      </c>
      <c r="H3788" s="6"/>
    </row>
    <row r="3789" spans="1:8" hidden="1">
      <c r="A3789" s="5" t="s">
        <v>36</v>
      </c>
      <c r="H3789" s="6"/>
    </row>
    <row r="3790" spans="1:8" hidden="1">
      <c r="A3790" s="5" t="s">
        <v>37</v>
      </c>
      <c r="H3790" s="6"/>
    </row>
    <row r="3791" spans="1:8" hidden="1">
      <c r="A3791" s="5" t="s">
        <v>38</v>
      </c>
      <c r="H3791" s="6"/>
    </row>
    <row r="3792" spans="1:8" hidden="1">
      <c r="A3792" s="5" t="s">
        <v>39</v>
      </c>
      <c r="H3792" s="6"/>
    </row>
    <row r="3793" spans="1:8" hidden="1">
      <c r="A3793" s="6"/>
      <c r="H3793" s="6"/>
    </row>
    <row r="3794" spans="1:8" hidden="1">
      <c r="A3794" s="5" t="s">
        <v>353</v>
      </c>
      <c r="H3794" s="6"/>
    </row>
    <row r="3795" spans="1:8" hidden="1">
      <c r="A3795" s="5" t="s">
        <v>354</v>
      </c>
      <c r="H3795" s="6"/>
    </row>
    <row r="3796" spans="1:8" hidden="1">
      <c r="A3796" s="6"/>
      <c r="H3796" s="6"/>
    </row>
    <row r="3797" spans="1:8" hidden="1">
      <c r="A3797" s="6"/>
      <c r="H3797" s="6"/>
    </row>
    <row r="3798" spans="1:8" hidden="1">
      <c r="A3798" s="6"/>
      <c r="H3798" s="6"/>
    </row>
    <row r="3799" spans="1:8" hidden="1">
      <c r="A3799" s="6"/>
      <c r="H3799" s="6"/>
    </row>
    <row r="3800" spans="1:8" hidden="1">
      <c r="A3800" s="5" t="s">
        <v>6</v>
      </c>
      <c r="H3800" s="6"/>
    </row>
    <row r="3801" spans="1:8" hidden="1">
      <c r="A3801" s="5" t="s">
        <v>40</v>
      </c>
      <c r="H3801" s="6"/>
    </row>
    <row r="3802" spans="1:8" hidden="1">
      <c r="A3802" s="6"/>
      <c r="H3802" s="6"/>
    </row>
    <row r="3803" spans="1:8" hidden="1">
      <c r="A3803" s="5" t="s">
        <v>41</v>
      </c>
      <c r="H3803" s="6"/>
    </row>
    <row r="3804" spans="1:8" hidden="1">
      <c r="A3804" s="6"/>
      <c r="H3804" s="6"/>
    </row>
    <row r="3805" spans="1:8" hidden="1">
      <c r="A3805" s="5" t="s">
        <v>42</v>
      </c>
      <c r="H3805" s="6"/>
    </row>
    <row r="3806" spans="1:8" hidden="1">
      <c r="A3806" s="6"/>
      <c r="H3806" s="6"/>
    </row>
    <row r="3807" spans="1:8" hidden="1">
      <c r="A3807" s="5" t="s">
        <v>43</v>
      </c>
      <c r="H3807" s="6"/>
    </row>
    <row r="3808" spans="1:8" hidden="1">
      <c r="A3808" s="5" t="s">
        <v>44</v>
      </c>
      <c r="H3808" s="6"/>
    </row>
    <row r="3809" spans="1:8" hidden="1">
      <c r="A3809" s="5" t="s">
        <v>45</v>
      </c>
      <c r="H3809" s="6"/>
    </row>
    <row r="3810" spans="1:8" hidden="1">
      <c r="A3810" s="5" t="s">
        <v>46</v>
      </c>
      <c r="H3810" s="6"/>
    </row>
    <row r="3811" spans="1:8" hidden="1">
      <c r="A3811" s="5" t="s">
        <v>47</v>
      </c>
      <c r="H3811" s="6"/>
    </row>
    <row r="3812" spans="1:8" hidden="1">
      <c r="A3812" s="5" t="s">
        <v>37</v>
      </c>
      <c r="H3812" s="6"/>
    </row>
    <row r="3813" spans="1:8" hidden="1">
      <c r="A3813" s="6"/>
      <c r="H3813" s="6"/>
    </row>
    <row r="3814" spans="1:8" hidden="1">
      <c r="A3814" s="5" t="s">
        <v>353</v>
      </c>
      <c r="H3814" s="6"/>
    </row>
    <row r="3815" spans="1:8" hidden="1">
      <c r="A3815" s="5" t="s">
        <v>354</v>
      </c>
      <c r="H3815" s="6"/>
    </row>
    <row r="3816" spans="1:8" hidden="1">
      <c r="A3816" s="6"/>
      <c r="H3816" s="6"/>
    </row>
    <row r="3817" spans="1:8" hidden="1">
      <c r="A3817" s="6"/>
      <c r="H3817" s="6"/>
    </row>
    <row r="3818" spans="1:8" hidden="1">
      <c r="A3818" s="5" t="s">
        <v>3</v>
      </c>
      <c r="H3818" s="6"/>
    </row>
    <row r="3819" spans="1:8" hidden="1">
      <c r="A3819" s="5" t="s">
        <v>4</v>
      </c>
      <c r="H3819" s="6"/>
    </row>
    <row r="3820" spans="1:8" hidden="1">
      <c r="A3820" s="5" t="s">
        <v>5</v>
      </c>
      <c r="H3820" s="6"/>
    </row>
    <row r="3821" spans="1:8" hidden="1">
      <c r="A3821" s="5" t="s">
        <v>6</v>
      </c>
      <c r="H3821" s="6"/>
    </row>
    <row r="3822" spans="1:8" hidden="1">
      <c r="A3822" s="5" t="s">
        <v>7</v>
      </c>
      <c r="H3822" s="6"/>
    </row>
    <row r="3823" spans="1:8" hidden="1">
      <c r="A3823" s="5" t="s">
        <v>6</v>
      </c>
      <c r="H3823" s="6"/>
    </row>
    <row r="3824" spans="1:8" hidden="1">
      <c r="A3824" s="5" t="s">
        <v>357</v>
      </c>
      <c r="H3824" s="6"/>
    </row>
    <row r="3825" spans="1:8" hidden="1">
      <c r="A3825" s="5" t="s">
        <v>358</v>
      </c>
      <c r="H3825" s="6"/>
    </row>
    <row r="3826" spans="1:8" hidden="1">
      <c r="A3826" s="6"/>
      <c r="H3826" s="6"/>
    </row>
    <row r="3827" spans="1:8" hidden="1">
      <c r="A3827" s="5" t="s">
        <v>87</v>
      </c>
      <c r="H3827" s="6"/>
    </row>
    <row r="3828" spans="1:8" hidden="1">
      <c r="A3828" s="5" t="s">
        <v>88</v>
      </c>
      <c r="H3828" s="6"/>
    </row>
    <row r="3829" spans="1:8" hidden="1">
      <c r="A3829" s="5" t="s">
        <v>89</v>
      </c>
      <c r="H3829" s="6"/>
    </row>
    <row r="3830" spans="1:8" hidden="1">
      <c r="A3830" s="5" t="s">
        <v>15</v>
      </c>
      <c r="H3830" s="6"/>
    </row>
    <row r="3831" spans="1:8" hidden="1">
      <c r="A3831" s="5" t="s">
        <v>6</v>
      </c>
      <c r="H3831" s="6"/>
    </row>
    <row r="3832" spans="1:8" hidden="1">
      <c r="A3832" s="5" t="s">
        <v>91</v>
      </c>
      <c r="H3832" s="6"/>
    </row>
    <row r="3833" spans="1:8" hidden="1">
      <c r="A3833" s="5" t="s">
        <v>63</v>
      </c>
      <c r="H3833" s="6"/>
    </row>
    <row r="3834" spans="1:8" hidden="1">
      <c r="A3834" s="5" t="s">
        <v>92</v>
      </c>
      <c r="H3834" s="6"/>
    </row>
    <row r="3835" spans="1:8" hidden="1">
      <c r="A3835" s="6"/>
      <c r="H3835" s="6"/>
    </row>
    <row r="3836" spans="1:8" hidden="1">
      <c r="A3836" s="5" t="s">
        <v>18</v>
      </c>
      <c r="H3836" s="6"/>
    </row>
    <row r="3837" spans="1:8" hidden="1">
      <c r="A3837" s="7">
        <v>45000</v>
      </c>
      <c r="H3837" s="6"/>
    </row>
    <row r="3838" spans="1:8" hidden="1">
      <c r="A3838" s="6"/>
      <c r="H3838" s="6"/>
    </row>
    <row r="3839" spans="1:8" hidden="1">
      <c r="A3839" s="5" t="s">
        <v>19</v>
      </c>
      <c r="H3839" s="6"/>
    </row>
    <row r="3840" spans="1:8" hidden="1">
      <c r="A3840" s="5" t="s">
        <v>20</v>
      </c>
      <c r="H3840" s="6"/>
    </row>
    <row r="3841" spans="1:8" hidden="1">
      <c r="A3841" s="5" t="s">
        <v>21</v>
      </c>
      <c r="H3841" s="6"/>
    </row>
    <row r="3842" spans="1:8" hidden="1">
      <c r="A3842" s="5" t="s">
        <v>22</v>
      </c>
      <c r="H3842" s="6"/>
    </row>
    <row r="3843" spans="1:8" hidden="1">
      <c r="A3843" s="5" t="s">
        <v>23</v>
      </c>
      <c r="H3843" s="6"/>
    </row>
    <row r="3844" spans="1:8" hidden="1">
      <c r="A3844" s="5" t="s">
        <v>24</v>
      </c>
      <c r="H3844" s="6"/>
    </row>
    <row r="3845" spans="1:8" hidden="1">
      <c r="A3845" s="5" t="s">
        <v>25</v>
      </c>
      <c r="H3845" s="6"/>
    </row>
    <row r="3846" spans="1:8" hidden="1">
      <c r="A3846" s="5" t="s">
        <v>26</v>
      </c>
      <c r="H3846" s="6"/>
    </row>
    <row r="3847" spans="1:8" hidden="1">
      <c r="A3847" s="5" t="s">
        <v>27</v>
      </c>
      <c r="H3847" s="6"/>
    </row>
    <row r="3848" spans="1:8" hidden="1">
      <c r="A3848" s="5" t="s">
        <v>6</v>
      </c>
      <c r="H3848" s="6"/>
    </row>
    <row r="3849" spans="1:8" hidden="1">
      <c r="A3849" s="5" t="s">
        <v>28</v>
      </c>
      <c r="H3849" s="6"/>
    </row>
    <row r="3850" spans="1:8" hidden="1">
      <c r="A3850" s="5" t="s">
        <v>29</v>
      </c>
      <c r="H3850" s="6"/>
    </row>
    <row r="3851" spans="1:8" hidden="1">
      <c r="A3851" s="6"/>
      <c r="H3851" s="6"/>
    </row>
    <row r="3852" spans="1:8" hidden="1">
      <c r="A3852" s="6"/>
      <c r="H3852" s="6"/>
    </row>
    <row r="3853" spans="1:8" hidden="1">
      <c r="A3853" s="5" t="s">
        <v>6</v>
      </c>
      <c r="H3853" s="6"/>
    </row>
    <row r="3854" spans="1:8" hidden="1">
      <c r="A3854" s="5" t="s">
        <v>30</v>
      </c>
      <c r="H3854" s="6"/>
    </row>
    <row r="3855" spans="1:8" hidden="1">
      <c r="A3855" s="6"/>
      <c r="H3855" s="6"/>
    </row>
    <row r="3856" spans="1:8" hidden="1">
      <c r="A3856" s="5" t="s">
        <v>31</v>
      </c>
      <c r="H3856" s="6"/>
    </row>
    <row r="3857" spans="1:8" hidden="1">
      <c r="A3857" s="5" t="s">
        <v>32</v>
      </c>
      <c r="H3857" s="6"/>
    </row>
    <row r="3858" spans="1:8" hidden="1">
      <c r="A3858" s="5" t="s">
        <v>33</v>
      </c>
      <c r="H3858" s="6"/>
    </row>
    <row r="3859" spans="1:8" hidden="1">
      <c r="A3859" s="5" t="s">
        <v>34</v>
      </c>
      <c r="H3859" s="6"/>
    </row>
    <row r="3860" spans="1:8" hidden="1">
      <c r="A3860" s="5" t="s">
        <v>35</v>
      </c>
      <c r="H3860" s="6"/>
    </row>
    <row r="3861" spans="1:8" hidden="1">
      <c r="A3861" s="5" t="s">
        <v>36</v>
      </c>
      <c r="H3861" s="6"/>
    </row>
    <row r="3862" spans="1:8" hidden="1">
      <c r="A3862" s="5" t="s">
        <v>37</v>
      </c>
      <c r="H3862" s="6"/>
    </row>
    <row r="3863" spans="1:8" hidden="1">
      <c r="A3863" s="5" t="s">
        <v>38</v>
      </c>
      <c r="H3863" s="6"/>
    </row>
    <row r="3864" spans="1:8" hidden="1">
      <c r="A3864" s="5" t="s">
        <v>39</v>
      </c>
      <c r="H3864" s="6"/>
    </row>
    <row r="3865" spans="1:8" hidden="1">
      <c r="A3865" s="6"/>
      <c r="H3865" s="6"/>
    </row>
    <row r="3866" spans="1:8" hidden="1">
      <c r="A3866" s="5" t="s">
        <v>357</v>
      </c>
      <c r="H3866" s="6"/>
    </row>
    <row r="3867" spans="1:8" hidden="1">
      <c r="A3867" s="5" t="s">
        <v>358</v>
      </c>
      <c r="H3867" s="6"/>
    </row>
    <row r="3868" spans="1:8" hidden="1">
      <c r="A3868" s="6"/>
      <c r="H3868" s="6"/>
    </row>
    <row r="3869" spans="1:8" hidden="1">
      <c r="A3869" s="6"/>
      <c r="H3869" s="6"/>
    </row>
    <row r="3870" spans="1:8" hidden="1">
      <c r="A3870" s="6"/>
      <c r="H3870" s="6"/>
    </row>
    <row r="3871" spans="1:8" hidden="1">
      <c r="A3871" s="6"/>
      <c r="H3871" s="6"/>
    </row>
    <row r="3872" spans="1:8" hidden="1">
      <c r="A3872" s="5" t="s">
        <v>6</v>
      </c>
      <c r="H3872" s="6"/>
    </row>
    <row r="3873" spans="1:8" hidden="1">
      <c r="A3873" s="5" t="s">
        <v>40</v>
      </c>
      <c r="H3873" s="6"/>
    </row>
    <row r="3874" spans="1:8" hidden="1">
      <c r="A3874" s="6"/>
      <c r="H3874" s="6"/>
    </row>
    <row r="3875" spans="1:8" hidden="1">
      <c r="A3875" s="5" t="s">
        <v>41</v>
      </c>
      <c r="H3875" s="6"/>
    </row>
    <row r="3876" spans="1:8" hidden="1">
      <c r="A3876" s="6"/>
      <c r="H3876" s="6"/>
    </row>
    <row r="3877" spans="1:8" hidden="1">
      <c r="A3877" s="5" t="s">
        <v>42</v>
      </c>
      <c r="H3877" s="6"/>
    </row>
    <row r="3878" spans="1:8" hidden="1">
      <c r="A3878" s="6"/>
      <c r="H3878" s="6"/>
    </row>
    <row r="3879" spans="1:8" hidden="1">
      <c r="A3879" s="5" t="s">
        <v>43</v>
      </c>
      <c r="H3879" s="6"/>
    </row>
    <row r="3880" spans="1:8" hidden="1">
      <c r="A3880" s="5" t="s">
        <v>44</v>
      </c>
      <c r="H3880" s="6"/>
    </row>
    <row r="3881" spans="1:8" hidden="1">
      <c r="A3881" s="5" t="s">
        <v>45</v>
      </c>
      <c r="H3881" s="6"/>
    </row>
    <row r="3882" spans="1:8" hidden="1">
      <c r="A3882" s="5" t="s">
        <v>46</v>
      </c>
      <c r="H3882" s="6"/>
    </row>
    <row r="3883" spans="1:8" hidden="1">
      <c r="A3883" s="5" t="s">
        <v>47</v>
      </c>
      <c r="H3883" s="6"/>
    </row>
    <row r="3884" spans="1:8" hidden="1">
      <c r="A3884" s="5" t="s">
        <v>37</v>
      </c>
      <c r="H3884" s="6"/>
    </row>
    <row r="3885" spans="1:8" hidden="1">
      <c r="A3885" s="6"/>
      <c r="H3885" s="6"/>
    </row>
    <row r="3886" spans="1:8" hidden="1">
      <c r="A3886" s="5" t="s">
        <v>357</v>
      </c>
      <c r="H3886" s="6"/>
    </row>
    <row r="3887" spans="1:8" hidden="1">
      <c r="A3887" s="5" t="s">
        <v>358</v>
      </c>
      <c r="H3887" s="6"/>
    </row>
    <row r="3888" spans="1:8" hidden="1">
      <c r="A3888" s="6"/>
      <c r="H3888" s="6"/>
    </row>
    <row r="3889" spans="1:8" hidden="1">
      <c r="A3889" s="6"/>
      <c r="H3889" s="6"/>
    </row>
    <row r="3890" spans="1:8" hidden="1">
      <c r="A3890" s="5" t="s">
        <v>3</v>
      </c>
      <c r="H3890" s="6"/>
    </row>
    <row r="3891" spans="1:8" hidden="1">
      <c r="A3891" s="5" t="s">
        <v>4</v>
      </c>
      <c r="H3891" s="6"/>
    </row>
    <row r="3892" spans="1:8" hidden="1">
      <c r="A3892" s="5" t="s">
        <v>5</v>
      </c>
      <c r="H3892" s="6"/>
    </row>
    <row r="3893" spans="1:8" hidden="1">
      <c r="A3893" s="5" t="s">
        <v>6</v>
      </c>
      <c r="H3893" s="6"/>
    </row>
    <row r="3894" spans="1:8" hidden="1">
      <c r="A3894" s="5" t="s">
        <v>7</v>
      </c>
      <c r="H3894" s="6"/>
    </row>
    <row r="3895" spans="1:8" hidden="1">
      <c r="A3895" s="5" t="s">
        <v>6</v>
      </c>
      <c r="H3895" s="6"/>
    </row>
    <row r="3896" spans="1:8" hidden="1">
      <c r="A3896" s="5" t="s">
        <v>359</v>
      </c>
      <c r="H3896" s="6"/>
    </row>
    <row r="3897" spans="1:8" hidden="1">
      <c r="A3897" s="5" t="s">
        <v>360</v>
      </c>
      <c r="H3897" s="6"/>
    </row>
    <row r="3898" spans="1:8" hidden="1">
      <c r="A3898" s="6"/>
      <c r="H3898" s="6"/>
    </row>
    <row r="3899" spans="1:8" hidden="1">
      <c r="A3899" s="5" t="s">
        <v>87</v>
      </c>
      <c r="H3899" s="6"/>
    </row>
    <row r="3900" spans="1:8" hidden="1">
      <c r="A3900" s="5" t="s">
        <v>88</v>
      </c>
      <c r="H3900" s="6"/>
    </row>
    <row r="3901" spans="1:8" hidden="1">
      <c r="A3901" s="5" t="s">
        <v>89</v>
      </c>
      <c r="H3901" s="6"/>
    </row>
    <row r="3902" spans="1:8" hidden="1">
      <c r="A3902" s="5" t="s">
        <v>119</v>
      </c>
      <c r="H3902" s="6"/>
    </row>
    <row r="3903" spans="1:8" hidden="1">
      <c r="A3903" s="5" t="s">
        <v>6</v>
      </c>
      <c r="H3903" s="6"/>
    </row>
    <row r="3904" spans="1:8" hidden="1">
      <c r="A3904" s="5" t="s">
        <v>91</v>
      </c>
      <c r="H3904" s="6"/>
    </row>
    <row r="3905" spans="1:8" hidden="1">
      <c r="A3905" s="5" t="s">
        <v>63</v>
      </c>
      <c r="H3905" s="6"/>
    </row>
    <row r="3906" spans="1:8" hidden="1">
      <c r="A3906" s="5" t="s">
        <v>92</v>
      </c>
      <c r="H3906" s="6"/>
    </row>
    <row r="3907" spans="1:8" hidden="1">
      <c r="A3907" s="6"/>
      <c r="H3907" s="6"/>
    </row>
    <row r="3908" spans="1:8" hidden="1">
      <c r="A3908" s="5" t="s">
        <v>18</v>
      </c>
      <c r="H3908" s="6"/>
    </row>
    <row r="3909" spans="1:8" hidden="1">
      <c r="A3909" s="7">
        <v>45000</v>
      </c>
      <c r="H3909" s="6"/>
    </row>
    <row r="3910" spans="1:8" hidden="1">
      <c r="A3910" s="6"/>
      <c r="H3910" s="6"/>
    </row>
    <row r="3911" spans="1:8" hidden="1">
      <c r="A3911" s="5" t="s">
        <v>19</v>
      </c>
      <c r="H3911" s="6"/>
    </row>
    <row r="3912" spans="1:8" hidden="1">
      <c r="A3912" s="5" t="s">
        <v>20</v>
      </c>
      <c r="H3912" s="6"/>
    </row>
    <row r="3913" spans="1:8" hidden="1">
      <c r="A3913" s="5" t="s">
        <v>21</v>
      </c>
      <c r="H3913" s="6"/>
    </row>
    <row r="3914" spans="1:8" hidden="1">
      <c r="A3914" s="5" t="s">
        <v>22</v>
      </c>
      <c r="H3914" s="6"/>
    </row>
    <row r="3915" spans="1:8" hidden="1">
      <c r="A3915" s="5" t="s">
        <v>23</v>
      </c>
      <c r="H3915" s="6"/>
    </row>
    <row r="3916" spans="1:8" hidden="1">
      <c r="A3916" s="5" t="s">
        <v>24</v>
      </c>
      <c r="H3916" s="6"/>
    </row>
    <row r="3917" spans="1:8" hidden="1">
      <c r="A3917" s="5" t="s">
        <v>25</v>
      </c>
      <c r="H3917" s="6"/>
    </row>
    <row r="3918" spans="1:8" hidden="1">
      <c r="A3918" s="5" t="s">
        <v>26</v>
      </c>
      <c r="H3918" s="6"/>
    </row>
    <row r="3919" spans="1:8" hidden="1">
      <c r="A3919" s="5" t="s">
        <v>27</v>
      </c>
      <c r="H3919" s="6"/>
    </row>
    <row r="3920" spans="1:8" hidden="1">
      <c r="A3920" s="5" t="s">
        <v>6</v>
      </c>
      <c r="H3920" s="6"/>
    </row>
    <row r="3921" spans="1:8" hidden="1">
      <c r="A3921" s="5" t="s">
        <v>28</v>
      </c>
      <c r="H3921" s="6"/>
    </row>
    <row r="3922" spans="1:8" hidden="1">
      <c r="A3922" s="5" t="s">
        <v>29</v>
      </c>
      <c r="H3922" s="6"/>
    </row>
    <row r="3923" spans="1:8" hidden="1">
      <c r="A3923" s="6"/>
      <c r="H3923" s="6"/>
    </row>
    <row r="3924" spans="1:8" hidden="1">
      <c r="A3924" s="6"/>
      <c r="H3924" s="6"/>
    </row>
    <row r="3925" spans="1:8" hidden="1">
      <c r="A3925" s="5" t="s">
        <v>6</v>
      </c>
      <c r="H3925" s="6"/>
    </row>
    <row r="3926" spans="1:8" hidden="1">
      <c r="A3926" s="5" t="s">
        <v>30</v>
      </c>
      <c r="H3926" s="6"/>
    </row>
    <row r="3927" spans="1:8" hidden="1">
      <c r="A3927" s="6"/>
      <c r="H3927" s="6"/>
    </row>
    <row r="3928" spans="1:8" hidden="1">
      <c r="A3928" s="5" t="s">
        <v>31</v>
      </c>
      <c r="H3928" s="6"/>
    </row>
    <row r="3929" spans="1:8" hidden="1">
      <c r="A3929" s="5" t="s">
        <v>32</v>
      </c>
      <c r="H3929" s="6"/>
    </row>
    <row r="3930" spans="1:8" hidden="1">
      <c r="A3930" s="5" t="s">
        <v>33</v>
      </c>
      <c r="H3930" s="6"/>
    </row>
    <row r="3931" spans="1:8" hidden="1">
      <c r="A3931" s="5" t="s">
        <v>34</v>
      </c>
      <c r="H3931" s="6"/>
    </row>
    <row r="3932" spans="1:8" hidden="1">
      <c r="A3932" s="5" t="s">
        <v>35</v>
      </c>
      <c r="H3932" s="6"/>
    </row>
    <row r="3933" spans="1:8" hidden="1">
      <c r="A3933" s="5" t="s">
        <v>36</v>
      </c>
      <c r="H3933" s="6"/>
    </row>
    <row r="3934" spans="1:8" hidden="1">
      <c r="A3934" s="5" t="s">
        <v>37</v>
      </c>
      <c r="H3934" s="6"/>
    </row>
    <row r="3935" spans="1:8" hidden="1">
      <c r="A3935" s="5" t="s">
        <v>38</v>
      </c>
      <c r="H3935" s="6"/>
    </row>
    <row r="3936" spans="1:8" hidden="1">
      <c r="A3936" s="5" t="s">
        <v>39</v>
      </c>
      <c r="H3936" s="6"/>
    </row>
    <row r="3937" spans="1:8" hidden="1">
      <c r="A3937" s="6"/>
      <c r="H3937" s="6"/>
    </row>
    <row r="3938" spans="1:8" hidden="1">
      <c r="A3938" s="5" t="s">
        <v>359</v>
      </c>
      <c r="H3938" s="6"/>
    </row>
    <row r="3939" spans="1:8" hidden="1">
      <c r="A3939" s="5" t="s">
        <v>360</v>
      </c>
      <c r="H3939" s="6"/>
    </row>
    <row r="3940" spans="1:8" hidden="1">
      <c r="A3940" s="6"/>
      <c r="H3940" s="6"/>
    </row>
    <row r="3941" spans="1:8" hidden="1">
      <c r="A3941" s="6"/>
      <c r="H3941" s="6"/>
    </row>
    <row r="3942" spans="1:8" hidden="1">
      <c r="A3942" s="6"/>
      <c r="H3942" s="6"/>
    </row>
    <row r="3943" spans="1:8" hidden="1">
      <c r="A3943" s="6"/>
      <c r="H3943" s="6"/>
    </row>
    <row r="3944" spans="1:8" hidden="1">
      <c r="A3944" s="5" t="s">
        <v>6</v>
      </c>
      <c r="H3944" s="6"/>
    </row>
    <row r="3945" spans="1:8" hidden="1">
      <c r="A3945" s="5" t="s">
        <v>40</v>
      </c>
      <c r="H3945" s="6"/>
    </row>
    <row r="3946" spans="1:8" hidden="1">
      <c r="A3946" s="6"/>
      <c r="H3946" s="6"/>
    </row>
    <row r="3947" spans="1:8" hidden="1">
      <c r="A3947" s="5" t="s">
        <v>41</v>
      </c>
      <c r="H3947" s="6"/>
    </row>
    <row r="3948" spans="1:8" hidden="1">
      <c r="A3948" s="6"/>
      <c r="H3948" s="6"/>
    </row>
    <row r="3949" spans="1:8" hidden="1">
      <c r="A3949" s="5" t="s">
        <v>42</v>
      </c>
      <c r="H3949" s="6"/>
    </row>
    <row r="3950" spans="1:8" hidden="1">
      <c r="A3950" s="6"/>
      <c r="H3950" s="6"/>
    </row>
    <row r="3951" spans="1:8" hidden="1">
      <c r="A3951" s="5" t="s">
        <v>43</v>
      </c>
      <c r="H3951" s="6"/>
    </row>
    <row r="3952" spans="1:8" hidden="1">
      <c r="A3952" s="5" t="s">
        <v>44</v>
      </c>
      <c r="H3952" s="6"/>
    </row>
    <row r="3953" spans="1:8" hidden="1">
      <c r="A3953" s="5" t="s">
        <v>45</v>
      </c>
      <c r="H3953" s="6"/>
    </row>
    <row r="3954" spans="1:8" hidden="1">
      <c r="A3954" s="5" t="s">
        <v>46</v>
      </c>
      <c r="H3954" s="6"/>
    </row>
    <row r="3955" spans="1:8" hidden="1">
      <c r="A3955" s="5" t="s">
        <v>47</v>
      </c>
      <c r="H3955" s="6"/>
    </row>
    <row r="3956" spans="1:8" hidden="1">
      <c r="A3956" s="5" t="s">
        <v>37</v>
      </c>
      <c r="H3956" s="6"/>
    </row>
    <row r="3957" spans="1:8" hidden="1">
      <c r="A3957" s="6"/>
      <c r="H3957" s="6"/>
    </row>
    <row r="3958" spans="1:8" hidden="1">
      <c r="A3958" s="5" t="s">
        <v>359</v>
      </c>
      <c r="H3958" s="6"/>
    </row>
    <row r="3959" spans="1:8" hidden="1">
      <c r="A3959" s="5" t="s">
        <v>360</v>
      </c>
      <c r="H3959" s="6"/>
    </row>
    <row r="3960" spans="1:8" hidden="1">
      <c r="A3960" s="6"/>
      <c r="H3960" s="6"/>
    </row>
    <row r="3961" spans="1:8" hidden="1">
      <c r="A3961" s="6"/>
      <c r="H3961" s="6"/>
    </row>
    <row r="3962" spans="1:8" hidden="1">
      <c r="A3962" s="5" t="s">
        <v>3</v>
      </c>
      <c r="H3962" s="6"/>
    </row>
    <row r="3963" spans="1:8" hidden="1">
      <c r="A3963" s="5" t="s">
        <v>4</v>
      </c>
      <c r="H3963" s="6"/>
    </row>
    <row r="3964" spans="1:8" hidden="1">
      <c r="A3964" s="5" t="s">
        <v>5</v>
      </c>
      <c r="H3964" s="6"/>
    </row>
    <row r="3965" spans="1:8" hidden="1">
      <c r="A3965" s="5" t="s">
        <v>6</v>
      </c>
      <c r="H3965" s="6"/>
    </row>
    <row r="3966" spans="1:8" hidden="1">
      <c r="A3966" s="5" t="s">
        <v>7</v>
      </c>
      <c r="H3966" s="6"/>
    </row>
    <row r="3967" spans="1:8" hidden="1">
      <c r="A3967" s="5" t="s">
        <v>6</v>
      </c>
      <c r="H3967" s="6"/>
    </row>
    <row r="3968" spans="1:8" hidden="1">
      <c r="A3968" s="5" t="s">
        <v>361</v>
      </c>
      <c r="H3968" s="6"/>
    </row>
    <row r="3969" spans="1:8" hidden="1">
      <c r="A3969" s="5" t="s">
        <v>362</v>
      </c>
      <c r="H3969" s="6"/>
    </row>
    <row r="3970" spans="1:8" hidden="1">
      <c r="A3970" s="6"/>
      <c r="H3970" s="6"/>
    </row>
    <row r="3971" spans="1:8" hidden="1">
      <c r="A3971" s="5" t="s">
        <v>363</v>
      </c>
      <c r="H3971" s="6"/>
    </row>
    <row r="3972" spans="1:8" hidden="1">
      <c r="A3972" s="5" t="s">
        <v>364</v>
      </c>
      <c r="H3972" s="6"/>
    </row>
    <row r="3973" spans="1:8" hidden="1">
      <c r="A3973" s="5" t="s">
        <v>15</v>
      </c>
      <c r="H3973" s="6"/>
    </row>
    <row r="3974" spans="1:8" hidden="1">
      <c r="A3974" s="5" t="s">
        <v>6</v>
      </c>
      <c r="H3974" s="6"/>
    </row>
    <row r="3975" spans="1:8" hidden="1">
      <c r="A3975" s="5" t="s">
        <v>365</v>
      </c>
      <c r="H3975" s="6"/>
    </row>
    <row r="3976" spans="1:8" hidden="1">
      <c r="A3976" s="5" t="s">
        <v>366</v>
      </c>
      <c r="H3976" s="6"/>
    </row>
    <row r="3977" spans="1:8" hidden="1">
      <c r="A3977" s="5" t="s">
        <v>265</v>
      </c>
      <c r="H3977" s="6"/>
    </row>
    <row r="3978" spans="1:8" hidden="1">
      <c r="A3978" s="5" t="s">
        <v>367</v>
      </c>
      <c r="H3978" s="6"/>
    </row>
    <row r="3979" spans="1:8" hidden="1">
      <c r="A3979" s="6"/>
      <c r="H3979" s="6"/>
    </row>
    <row r="3980" spans="1:8" hidden="1">
      <c r="A3980" s="5" t="s">
        <v>19</v>
      </c>
      <c r="H3980" s="6"/>
    </row>
    <row r="3981" spans="1:8" hidden="1">
      <c r="A3981" s="5" t="s">
        <v>20</v>
      </c>
      <c r="H3981" s="6"/>
    </row>
    <row r="3982" spans="1:8" hidden="1">
      <c r="A3982" s="5" t="s">
        <v>21</v>
      </c>
      <c r="H3982" s="6"/>
    </row>
    <row r="3983" spans="1:8" hidden="1">
      <c r="A3983" s="5" t="s">
        <v>22</v>
      </c>
      <c r="H3983" s="6"/>
    </row>
    <row r="3984" spans="1:8" hidden="1">
      <c r="A3984" s="5" t="s">
        <v>23</v>
      </c>
      <c r="H3984" s="6"/>
    </row>
    <row r="3985" spans="1:8" hidden="1">
      <c r="A3985" s="5" t="s">
        <v>24</v>
      </c>
      <c r="H3985" s="6"/>
    </row>
    <row r="3986" spans="1:8" hidden="1">
      <c r="A3986" s="5" t="s">
        <v>25</v>
      </c>
      <c r="H3986" s="6"/>
    </row>
    <row r="3987" spans="1:8" hidden="1">
      <c r="A3987" s="5" t="s">
        <v>26</v>
      </c>
      <c r="H3987" s="6"/>
    </row>
    <row r="3988" spans="1:8" hidden="1">
      <c r="A3988" s="5" t="s">
        <v>27</v>
      </c>
      <c r="H3988" s="6"/>
    </row>
    <row r="3989" spans="1:8" hidden="1">
      <c r="A3989" s="5" t="s">
        <v>6</v>
      </c>
      <c r="H3989" s="6"/>
    </row>
    <row r="3990" spans="1:8" hidden="1">
      <c r="A3990" s="5" t="s">
        <v>28</v>
      </c>
      <c r="H3990" s="6"/>
    </row>
    <row r="3991" spans="1:8" hidden="1">
      <c r="A3991" s="5" t="s">
        <v>29</v>
      </c>
      <c r="H3991" s="6"/>
    </row>
    <row r="3992" spans="1:8" hidden="1">
      <c r="A3992" s="6"/>
      <c r="H3992" s="6"/>
    </row>
    <row r="3993" spans="1:8" hidden="1">
      <c r="A3993" s="6"/>
      <c r="H3993" s="6"/>
    </row>
    <row r="3994" spans="1:8" hidden="1">
      <c r="A3994" s="5" t="s">
        <v>6</v>
      </c>
      <c r="H3994" s="6"/>
    </row>
    <row r="3995" spans="1:8" hidden="1">
      <c r="A3995" s="5" t="s">
        <v>30</v>
      </c>
      <c r="H3995" s="6"/>
    </row>
    <row r="3996" spans="1:8" hidden="1">
      <c r="A3996" s="6"/>
      <c r="H3996" s="6"/>
    </row>
    <row r="3997" spans="1:8" hidden="1">
      <c r="A3997" s="5" t="s">
        <v>31</v>
      </c>
      <c r="H3997" s="6"/>
    </row>
    <row r="3998" spans="1:8" hidden="1">
      <c r="A3998" s="5" t="s">
        <v>32</v>
      </c>
      <c r="H3998" s="6"/>
    </row>
    <row r="3999" spans="1:8" hidden="1">
      <c r="A3999" s="5" t="s">
        <v>33</v>
      </c>
      <c r="H3999" s="6"/>
    </row>
    <row r="4000" spans="1:8" hidden="1">
      <c r="A4000" s="5" t="s">
        <v>34</v>
      </c>
      <c r="H4000" s="6"/>
    </row>
    <row r="4001" spans="1:8" hidden="1">
      <c r="A4001" s="5" t="s">
        <v>35</v>
      </c>
      <c r="H4001" s="6"/>
    </row>
    <row r="4002" spans="1:8" hidden="1">
      <c r="A4002" s="5" t="s">
        <v>36</v>
      </c>
      <c r="H4002" s="6"/>
    </row>
    <row r="4003" spans="1:8" hidden="1">
      <c r="A4003" s="5" t="s">
        <v>37</v>
      </c>
      <c r="H4003" s="6"/>
    </row>
    <row r="4004" spans="1:8" hidden="1">
      <c r="A4004" s="5" t="s">
        <v>38</v>
      </c>
      <c r="H4004" s="6"/>
    </row>
    <row r="4005" spans="1:8" hidden="1">
      <c r="A4005" s="5" t="s">
        <v>39</v>
      </c>
      <c r="H4005" s="6"/>
    </row>
    <row r="4006" spans="1:8" hidden="1">
      <c r="A4006" s="6"/>
      <c r="H4006" s="6"/>
    </row>
    <row r="4007" spans="1:8" hidden="1">
      <c r="A4007" s="5" t="s">
        <v>361</v>
      </c>
      <c r="H4007" s="6"/>
    </row>
    <row r="4008" spans="1:8" hidden="1">
      <c r="A4008" s="5" t="s">
        <v>362</v>
      </c>
      <c r="H4008" s="6"/>
    </row>
    <row r="4009" spans="1:8" hidden="1">
      <c r="A4009" s="6"/>
      <c r="H4009" s="6"/>
    </row>
    <row r="4010" spans="1:8" hidden="1">
      <c r="A4010" s="6"/>
      <c r="H4010" s="6"/>
    </row>
    <row r="4011" spans="1:8" hidden="1">
      <c r="A4011" s="6"/>
      <c r="H4011" s="6"/>
    </row>
    <row r="4012" spans="1:8" hidden="1">
      <c r="A4012" s="6"/>
      <c r="H4012" s="6"/>
    </row>
    <row r="4013" spans="1:8" hidden="1">
      <c r="A4013" s="5" t="s">
        <v>6</v>
      </c>
      <c r="H4013" s="6"/>
    </row>
    <row r="4014" spans="1:8" hidden="1">
      <c r="A4014" s="5" t="s">
        <v>40</v>
      </c>
      <c r="H4014" s="6"/>
    </row>
    <row r="4015" spans="1:8" hidden="1">
      <c r="A4015" s="6"/>
      <c r="H4015" s="6"/>
    </row>
    <row r="4016" spans="1:8" hidden="1">
      <c r="A4016" s="5" t="s">
        <v>41</v>
      </c>
      <c r="H4016" s="6"/>
    </row>
    <row r="4017" spans="1:8" hidden="1">
      <c r="A4017" s="6"/>
      <c r="H4017" s="6"/>
    </row>
    <row r="4018" spans="1:8" hidden="1">
      <c r="A4018" s="5" t="s">
        <v>42</v>
      </c>
      <c r="H4018" s="6"/>
    </row>
    <row r="4019" spans="1:8" hidden="1">
      <c r="A4019" s="6"/>
      <c r="H4019" s="6"/>
    </row>
    <row r="4020" spans="1:8" hidden="1">
      <c r="A4020" s="5" t="s">
        <v>43</v>
      </c>
      <c r="H4020" s="6"/>
    </row>
    <row r="4021" spans="1:8" hidden="1">
      <c r="A4021" s="5" t="s">
        <v>44</v>
      </c>
      <c r="H4021" s="6"/>
    </row>
    <row r="4022" spans="1:8" hidden="1">
      <c r="A4022" s="5" t="s">
        <v>45</v>
      </c>
      <c r="H4022" s="6"/>
    </row>
    <row r="4023" spans="1:8" hidden="1">
      <c r="A4023" s="5" t="s">
        <v>46</v>
      </c>
      <c r="H4023" s="6"/>
    </row>
    <row r="4024" spans="1:8" hidden="1">
      <c r="A4024" s="5" t="s">
        <v>47</v>
      </c>
      <c r="H4024" s="6"/>
    </row>
    <row r="4025" spans="1:8" hidden="1">
      <c r="A4025" s="5" t="s">
        <v>37</v>
      </c>
      <c r="H4025" s="6"/>
    </row>
    <row r="4026" spans="1:8" hidden="1">
      <c r="A4026" s="6"/>
      <c r="H4026" s="6"/>
    </row>
    <row r="4027" spans="1:8" hidden="1">
      <c r="A4027" s="5" t="s">
        <v>361</v>
      </c>
      <c r="H4027" s="6"/>
    </row>
    <row r="4028" spans="1:8" hidden="1">
      <c r="A4028" s="5" t="s">
        <v>362</v>
      </c>
      <c r="H4028" s="6"/>
    </row>
    <row r="4029" spans="1:8" hidden="1">
      <c r="A4029" s="6"/>
      <c r="H4029" s="6"/>
    </row>
    <row r="4030" spans="1:8" hidden="1">
      <c r="A4030" s="6"/>
      <c r="H4030" s="6"/>
    </row>
    <row r="4031" spans="1:8" hidden="1">
      <c r="A4031" s="5" t="s">
        <v>3</v>
      </c>
      <c r="H4031" s="6"/>
    </row>
    <row r="4032" spans="1:8" hidden="1">
      <c r="A4032" s="5" t="s">
        <v>4</v>
      </c>
      <c r="H4032" s="6"/>
    </row>
    <row r="4033" spans="1:8" hidden="1">
      <c r="A4033" s="5" t="s">
        <v>5</v>
      </c>
      <c r="H4033" s="6"/>
    </row>
    <row r="4034" spans="1:8" hidden="1">
      <c r="A4034" s="5" t="s">
        <v>6</v>
      </c>
      <c r="H4034" s="6"/>
    </row>
    <row r="4035" spans="1:8" hidden="1">
      <c r="A4035" s="5" t="s">
        <v>7</v>
      </c>
      <c r="H4035" s="6"/>
    </row>
    <row r="4036" spans="1:8" hidden="1">
      <c r="A4036" s="5" t="s">
        <v>6</v>
      </c>
      <c r="H4036" s="6"/>
    </row>
    <row r="4037" spans="1:8" hidden="1">
      <c r="A4037" s="5" t="s">
        <v>368</v>
      </c>
      <c r="H4037" s="6"/>
    </row>
    <row r="4038" spans="1:8" hidden="1">
      <c r="A4038" s="5" t="s">
        <v>369</v>
      </c>
      <c r="H4038" s="6"/>
    </row>
    <row r="4039" spans="1:8" hidden="1">
      <c r="A4039" s="6"/>
      <c r="H4039" s="6"/>
    </row>
    <row r="4040" spans="1:8" hidden="1">
      <c r="A4040" s="5" t="s">
        <v>109</v>
      </c>
      <c r="H4040" s="6"/>
    </row>
    <row r="4041" spans="1:8" hidden="1">
      <c r="A4041" s="5" t="s">
        <v>103</v>
      </c>
      <c r="H4041" s="6"/>
    </row>
    <row r="4042" spans="1:8" hidden="1">
      <c r="A4042" s="5" t="s">
        <v>6</v>
      </c>
      <c r="H4042" s="6"/>
    </row>
    <row r="4043" spans="1:8" hidden="1">
      <c r="A4043" s="5" t="s">
        <v>110</v>
      </c>
      <c r="H4043" s="6"/>
    </row>
    <row r="4044" spans="1:8" hidden="1">
      <c r="A4044" s="5" t="s">
        <v>17</v>
      </c>
      <c r="H4044" s="6"/>
    </row>
    <row r="4045" spans="1:8" hidden="1">
      <c r="A4045" s="5" t="s">
        <v>111</v>
      </c>
      <c r="H4045" s="6"/>
    </row>
    <row r="4046" spans="1:8" hidden="1">
      <c r="A4046" s="6"/>
      <c r="H4046" s="6"/>
    </row>
    <row r="4047" spans="1:8" hidden="1">
      <c r="A4047" s="5" t="s">
        <v>19</v>
      </c>
      <c r="H4047" s="6"/>
    </row>
    <row r="4048" spans="1:8" hidden="1">
      <c r="A4048" s="5" t="s">
        <v>20</v>
      </c>
      <c r="H4048" s="6"/>
    </row>
    <row r="4049" spans="1:8" hidden="1">
      <c r="A4049" s="5" t="s">
        <v>21</v>
      </c>
      <c r="H4049" s="6"/>
    </row>
    <row r="4050" spans="1:8" hidden="1">
      <c r="A4050" s="5" t="s">
        <v>22</v>
      </c>
      <c r="H4050" s="6"/>
    </row>
    <row r="4051" spans="1:8" hidden="1">
      <c r="A4051" s="5" t="s">
        <v>23</v>
      </c>
      <c r="H4051" s="6"/>
    </row>
    <row r="4052" spans="1:8" hidden="1">
      <c r="A4052" s="5" t="s">
        <v>24</v>
      </c>
      <c r="H4052" s="6"/>
    </row>
    <row r="4053" spans="1:8" hidden="1">
      <c r="A4053" s="5" t="s">
        <v>25</v>
      </c>
      <c r="H4053" s="6"/>
    </row>
    <row r="4054" spans="1:8" hidden="1">
      <c r="A4054" s="5" t="s">
        <v>26</v>
      </c>
      <c r="H4054" s="6"/>
    </row>
    <row r="4055" spans="1:8" hidden="1">
      <c r="A4055" s="5" t="s">
        <v>27</v>
      </c>
      <c r="H4055" s="6"/>
    </row>
    <row r="4056" spans="1:8" hidden="1">
      <c r="A4056" s="5" t="s">
        <v>6</v>
      </c>
      <c r="H4056" s="6"/>
    </row>
    <row r="4057" spans="1:8" hidden="1">
      <c r="A4057" s="5" t="s">
        <v>28</v>
      </c>
      <c r="H4057" s="6"/>
    </row>
    <row r="4058" spans="1:8" hidden="1">
      <c r="A4058" s="5" t="s">
        <v>29</v>
      </c>
      <c r="H4058" s="6"/>
    </row>
    <row r="4059" spans="1:8" hidden="1">
      <c r="A4059" s="6"/>
      <c r="H4059" s="6"/>
    </row>
    <row r="4060" spans="1:8" hidden="1">
      <c r="A4060" s="6"/>
      <c r="H4060" s="6"/>
    </row>
    <row r="4061" spans="1:8" hidden="1">
      <c r="A4061" s="5" t="s">
        <v>6</v>
      </c>
      <c r="H4061" s="6"/>
    </row>
    <row r="4062" spans="1:8" hidden="1">
      <c r="A4062" s="5" t="s">
        <v>30</v>
      </c>
      <c r="H4062" s="6"/>
    </row>
    <row r="4063" spans="1:8" hidden="1">
      <c r="A4063" s="6"/>
      <c r="H4063" s="6"/>
    </row>
    <row r="4064" spans="1:8" hidden="1">
      <c r="A4064" s="5" t="s">
        <v>31</v>
      </c>
      <c r="H4064" s="6"/>
    </row>
    <row r="4065" spans="1:8" hidden="1">
      <c r="A4065" s="5" t="s">
        <v>32</v>
      </c>
      <c r="H4065" s="6"/>
    </row>
    <row r="4066" spans="1:8" hidden="1">
      <c r="A4066" s="5" t="s">
        <v>33</v>
      </c>
      <c r="H4066" s="6"/>
    </row>
    <row r="4067" spans="1:8" hidden="1">
      <c r="A4067" s="5" t="s">
        <v>34</v>
      </c>
      <c r="H4067" s="6"/>
    </row>
    <row r="4068" spans="1:8" hidden="1">
      <c r="A4068" s="5" t="s">
        <v>35</v>
      </c>
      <c r="H4068" s="6"/>
    </row>
    <row r="4069" spans="1:8" hidden="1">
      <c r="A4069" s="5" t="s">
        <v>36</v>
      </c>
      <c r="H4069" s="6"/>
    </row>
    <row r="4070" spans="1:8" hidden="1">
      <c r="A4070" s="5" t="s">
        <v>37</v>
      </c>
      <c r="H4070" s="6"/>
    </row>
    <row r="4071" spans="1:8" hidden="1">
      <c r="A4071" s="5" t="s">
        <v>38</v>
      </c>
      <c r="H4071" s="6"/>
    </row>
    <row r="4072" spans="1:8" hidden="1">
      <c r="A4072" s="5" t="s">
        <v>39</v>
      </c>
      <c r="H4072" s="6"/>
    </row>
    <row r="4073" spans="1:8" hidden="1">
      <c r="A4073" s="6"/>
      <c r="H4073" s="6"/>
    </row>
    <row r="4074" spans="1:8" hidden="1">
      <c r="A4074" s="5" t="s">
        <v>368</v>
      </c>
      <c r="H4074" s="6"/>
    </row>
    <row r="4075" spans="1:8" hidden="1">
      <c r="A4075" s="5" t="s">
        <v>369</v>
      </c>
      <c r="H4075" s="6"/>
    </row>
    <row r="4076" spans="1:8" hidden="1">
      <c r="A4076" s="6"/>
      <c r="H4076" s="6"/>
    </row>
    <row r="4077" spans="1:8" hidden="1">
      <c r="A4077" s="6"/>
      <c r="H4077" s="6"/>
    </row>
    <row r="4078" spans="1:8" hidden="1">
      <c r="A4078" s="5" t="s">
        <v>3</v>
      </c>
      <c r="H4078" s="6"/>
    </row>
    <row r="4079" spans="1:8" hidden="1">
      <c r="A4079" s="5" t="s">
        <v>4</v>
      </c>
      <c r="H4079" s="6"/>
    </row>
    <row r="4080" spans="1:8" hidden="1">
      <c r="A4080" s="5" t="s">
        <v>5</v>
      </c>
      <c r="H4080" s="6"/>
    </row>
    <row r="4081" spans="1:8" hidden="1">
      <c r="A4081" s="5" t="s">
        <v>6</v>
      </c>
      <c r="H4081" s="6"/>
    </row>
    <row r="4082" spans="1:8" hidden="1">
      <c r="A4082" s="5" t="s">
        <v>7</v>
      </c>
      <c r="H4082" s="6"/>
    </row>
    <row r="4083" spans="1:8" hidden="1">
      <c r="A4083" s="5" t="s">
        <v>6</v>
      </c>
      <c r="H4083" s="6"/>
    </row>
    <row r="4084" spans="1:8" hidden="1">
      <c r="A4084" s="5" t="s">
        <v>370</v>
      </c>
      <c r="H4084" s="6"/>
    </row>
    <row r="4085" spans="1:8" hidden="1">
      <c r="A4085" s="5" t="s">
        <v>371</v>
      </c>
      <c r="H4085" s="6"/>
    </row>
    <row r="4086" spans="1:8" hidden="1">
      <c r="A4086" s="6"/>
      <c r="H4086" s="6"/>
    </row>
    <row r="4087" spans="1:8" hidden="1">
      <c r="A4087" s="5" t="s">
        <v>372</v>
      </c>
      <c r="H4087" s="6"/>
    </row>
    <row r="4088" spans="1:8" hidden="1">
      <c r="A4088" s="5" t="s">
        <v>172</v>
      </c>
      <c r="H4088" s="6"/>
    </row>
    <row r="4089" spans="1:8" hidden="1">
      <c r="A4089" s="5" t="s">
        <v>373</v>
      </c>
      <c r="H4089" s="6"/>
    </row>
    <row r="4090" spans="1:8" hidden="1">
      <c r="A4090" s="5" t="s">
        <v>374</v>
      </c>
      <c r="H4090" s="6"/>
    </row>
    <row r="4091" spans="1:8" hidden="1">
      <c r="A4091" s="5" t="s">
        <v>172</v>
      </c>
      <c r="H4091" s="6"/>
    </row>
    <row r="4092" spans="1:8" hidden="1">
      <c r="A4092" s="5" t="s">
        <v>373</v>
      </c>
      <c r="H4092" s="6"/>
    </row>
    <row r="4093" spans="1:8" hidden="1">
      <c r="A4093" s="5" t="s">
        <v>375</v>
      </c>
      <c r="H4093" s="6"/>
    </row>
    <row r="4094" spans="1:8" hidden="1">
      <c r="A4094" s="5" t="s">
        <v>172</v>
      </c>
      <c r="H4094" s="6"/>
    </row>
    <row r="4095" spans="1:8" hidden="1">
      <c r="A4095" s="5" t="s">
        <v>373</v>
      </c>
      <c r="H4095" s="6"/>
    </row>
    <row r="4096" spans="1:8" hidden="1">
      <c r="A4096" s="5" t="s">
        <v>15</v>
      </c>
      <c r="H4096" s="6"/>
    </row>
    <row r="4097" spans="1:8" hidden="1">
      <c r="A4097" s="5" t="s">
        <v>376</v>
      </c>
      <c r="H4097" s="6"/>
    </row>
    <row r="4098" spans="1:8" hidden="1">
      <c r="A4098" s="5" t="s">
        <v>6</v>
      </c>
      <c r="H4098" s="6"/>
    </row>
    <row r="4099" spans="1:8" hidden="1">
      <c r="A4099" s="5" t="s">
        <v>377</v>
      </c>
      <c r="H4099" s="6"/>
    </row>
    <row r="4100" spans="1:8" hidden="1">
      <c r="A4100" s="5" t="s">
        <v>378</v>
      </c>
      <c r="H4100" s="6"/>
    </row>
    <row r="4101" spans="1:8" hidden="1">
      <c r="A4101" s="5" t="s">
        <v>379</v>
      </c>
      <c r="H4101" s="6"/>
    </row>
    <row r="4102" spans="1:8" hidden="1">
      <c r="A4102" s="6"/>
      <c r="H4102" s="6"/>
    </row>
    <row r="4103" spans="1:8" hidden="1">
      <c r="A4103" s="5" t="s">
        <v>18</v>
      </c>
      <c r="H4103" s="6"/>
    </row>
    <row r="4104" spans="1:8" hidden="1">
      <c r="A4104" s="7">
        <v>119901</v>
      </c>
      <c r="H4104" s="6"/>
    </row>
    <row r="4105" spans="1:8" hidden="1">
      <c r="A4105" s="6"/>
      <c r="H4105" s="6"/>
    </row>
    <row r="4106" spans="1:8" hidden="1">
      <c r="A4106" s="5" t="s">
        <v>19</v>
      </c>
      <c r="H4106" s="6"/>
    </row>
    <row r="4107" spans="1:8" hidden="1">
      <c r="A4107" s="5" t="s">
        <v>20</v>
      </c>
      <c r="H4107" s="6"/>
    </row>
    <row r="4108" spans="1:8" hidden="1">
      <c r="A4108" s="5" t="s">
        <v>21</v>
      </c>
      <c r="H4108" s="6"/>
    </row>
    <row r="4109" spans="1:8" hidden="1">
      <c r="A4109" s="5" t="s">
        <v>22</v>
      </c>
      <c r="H4109" s="6"/>
    </row>
    <row r="4110" spans="1:8" hidden="1">
      <c r="A4110" s="5" t="s">
        <v>23</v>
      </c>
      <c r="H4110" s="6"/>
    </row>
    <row r="4111" spans="1:8" hidden="1">
      <c r="A4111" s="5" t="s">
        <v>24</v>
      </c>
      <c r="H4111" s="6"/>
    </row>
    <row r="4112" spans="1:8" hidden="1">
      <c r="A4112" s="5" t="s">
        <v>25</v>
      </c>
      <c r="H4112" s="6"/>
    </row>
    <row r="4113" spans="1:8" hidden="1">
      <c r="A4113" s="5" t="s">
        <v>26</v>
      </c>
      <c r="H4113" s="6"/>
    </row>
    <row r="4114" spans="1:8" hidden="1">
      <c r="A4114" s="5" t="s">
        <v>27</v>
      </c>
      <c r="H4114" s="6"/>
    </row>
    <row r="4115" spans="1:8" hidden="1">
      <c r="A4115" s="5" t="s">
        <v>6</v>
      </c>
      <c r="H4115" s="6"/>
    </row>
    <row r="4116" spans="1:8" hidden="1">
      <c r="A4116" s="5" t="s">
        <v>28</v>
      </c>
      <c r="H4116" s="6"/>
    </row>
    <row r="4117" spans="1:8" hidden="1">
      <c r="A4117" s="5" t="s">
        <v>29</v>
      </c>
      <c r="H4117" s="6"/>
    </row>
    <row r="4118" spans="1:8" hidden="1">
      <c r="A4118" s="6"/>
      <c r="H4118" s="6"/>
    </row>
    <row r="4119" spans="1:8" hidden="1">
      <c r="A4119" s="6"/>
      <c r="H4119" s="6"/>
    </row>
    <row r="4120" spans="1:8" hidden="1">
      <c r="A4120" s="5" t="s">
        <v>6</v>
      </c>
      <c r="H4120" s="6"/>
    </row>
    <row r="4121" spans="1:8" hidden="1">
      <c r="A4121" s="5" t="s">
        <v>30</v>
      </c>
      <c r="H4121" s="6"/>
    </row>
    <row r="4122" spans="1:8" hidden="1">
      <c r="A4122" s="6"/>
      <c r="H4122" s="6"/>
    </row>
    <row r="4123" spans="1:8" hidden="1">
      <c r="A4123" s="5" t="s">
        <v>31</v>
      </c>
      <c r="H4123" s="6"/>
    </row>
    <row r="4124" spans="1:8" hidden="1">
      <c r="A4124" s="5" t="s">
        <v>32</v>
      </c>
      <c r="H4124" s="6"/>
    </row>
    <row r="4125" spans="1:8" hidden="1">
      <c r="A4125" s="5" t="s">
        <v>33</v>
      </c>
      <c r="H4125" s="6"/>
    </row>
    <row r="4126" spans="1:8" hidden="1">
      <c r="A4126" s="5" t="s">
        <v>34</v>
      </c>
      <c r="H4126" s="6"/>
    </row>
    <row r="4127" spans="1:8" hidden="1">
      <c r="A4127" s="5" t="s">
        <v>35</v>
      </c>
      <c r="H4127" s="6"/>
    </row>
    <row r="4128" spans="1:8" hidden="1">
      <c r="A4128" s="5" t="s">
        <v>36</v>
      </c>
      <c r="H4128" s="6"/>
    </row>
    <row r="4129" spans="1:8" hidden="1">
      <c r="A4129" s="5" t="s">
        <v>37</v>
      </c>
      <c r="H4129" s="6"/>
    </row>
    <row r="4130" spans="1:8" hidden="1">
      <c r="A4130" s="5" t="s">
        <v>38</v>
      </c>
      <c r="H4130" s="6"/>
    </row>
    <row r="4131" spans="1:8" hidden="1">
      <c r="A4131" s="5" t="s">
        <v>39</v>
      </c>
      <c r="H4131" s="6"/>
    </row>
    <row r="4132" spans="1:8" hidden="1">
      <c r="A4132" s="6"/>
      <c r="H4132" s="6"/>
    </row>
    <row r="4133" spans="1:8" hidden="1">
      <c r="A4133" s="5" t="s">
        <v>370</v>
      </c>
      <c r="H4133" s="6"/>
    </row>
    <row r="4134" spans="1:8" hidden="1">
      <c r="A4134" s="5" t="s">
        <v>371</v>
      </c>
      <c r="H4134" s="6"/>
    </row>
    <row r="4135" spans="1:8" hidden="1">
      <c r="A4135" s="6"/>
      <c r="H4135" s="6"/>
    </row>
    <row r="4136" spans="1:8" hidden="1">
      <c r="A4136" s="6"/>
      <c r="H4136" s="6"/>
    </row>
    <row r="4137" spans="1:8" hidden="1">
      <c r="A4137" s="6"/>
      <c r="H4137" s="6"/>
    </row>
    <row r="4138" spans="1:8" hidden="1">
      <c r="A4138" s="6"/>
      <c r="H4138" s="6"/>
    </row>
    <row r="4139" spans="1:8" hidden="1">
      <c r="A4139" s="5" t="s">
        <v>6</v>
      </c>
      <c r="H4139" s="6"/>
    </row>
    <row r="4140" spans="1:8" hidden="1">
      <c r="A4140" s="5" t="s">
        <v>40</v>
      </c>
      <c r="H4140" s="6"/>
    </row>
    <row r="4141" spans="1:8" hidden="1">
      <c r="A4141" s="6"/>
      <c r="H4141" s="6"/>
    </row>
    <row r="4142" spans="1:8" hidden="1">
      <c r="A4142" s="5" t="s">
        <v>41</v>
      </c>
      <c r="H4142" s="6"/>
    </row>
    <row r="4143" spans="1:8" hidden="1">
      <c r="A4143" s="6"/>
      <c r="H4143" s="6"/>
    </row>
    <row r="4144" spans="1:8" hidden="1">
      <c r="A4144" s="5" t="s">
        <v>42</v>
      </c>
      <c r="H4144" s="6"/>
    </row>
    <row r="4145" spans="1:8" hidden="1">
      <c r="A4145" s="6"/>
      <c r="H4145" s="6"/>
    </row>
    <row r="4146" spans="1:8" hidden="1">
      <c r="A4146" s="5" t="s">
        <v>43</v>
      </c>
      <c r="H4146" s="6"/>
    </row>
    <row r="4147" spans="1:8" hidden="1">
      <c r="A4147" s="5" t="s">
        <v>44</v>
      </c>
      <c r="H4147" s="6"/>
    </row>
    <row r="4148" spans="1:8" hidden="1">
      <c r="A4148" s="5" t="s">
        <v>45</v>
      </c>
      <c r="H4148" s="6"/>
    </row>
    <row r="4149" spans="1:8" hidden="1">
      <c r="A4149" s="5" t="s">
        <v>46</v>
      </c>
      <c r="H4149" s="6"/>
    </row>
    <row r="4150" spans="1:8" hidden="1">
      <c r="A4150" s="5" t="s">
        <v>47</v>
      </c>
      <c r="H4150" s="6"/>
    </row>
    <row r="4151" spans="1:8" hidden="1">
      <c r="A4151" s="5" t="s">
        <v>37</v>
      </c>
      <c r="H4151" s="6"/>
    </row>
    <row r="4152" spans="1:8" hidden="1">
      <c r="A4152" s="6"/>
      <c r="H4152" s="6"/>
    </row>
    <row r="4153" spans="1:8" hidden="1">
      <c r="A4153" s="5" t="s">
        <v>370</v>
      </c>
      <c r="H4153" s="6"/>
    </row>
    <row r="4154" spans="1:8" hidden="1">
      <c r="A4154" s="5" t="s">
        <v>371</v>
      </c>
      <c r="H4154" s="6"/>
    </row>
    <row r="4155" spans="1:8" hidden="1">
      <c r="A4155" s="6"/>
      <c r="H4155" s="6"/>
    </row>
    <row r="4156" spans="1:8" hidden="1">
      <c r="A4156" s="6"/>
      <c r="H4156" s="6"/>
    </row>
    <row r="4157" spans="1:8" hidden="1">
      <c r="A4157" s="5" t="s">
        <v>3</v>
      </c>
      <c r="H4157" s="6"/>
    </row>
    <row r="4158" spans="1:8" hidden="1">
      <c r="A4158" s="5" t="s">
        <v>4</v>
      </c>
      <c r="H4158" s="6"/>
    </row>
    <row r="4159" spans="1:8" hidden="1">
      <c r="A4159" s="5" t="s">
        <v>5</v>
      </c>
      <c r="H4159" s="6"/>
    </row>
    <row r="4160" spans="1:8" hidden="1">
      <c r="A4160" s="5" t="s">
        <v>6</v>
      </c>
      <c r="H4160" s="6"/>
    </row>
    <row r="4161" spans="1:8" hidden="1">
      <c r="A4161" s="5" t="s">
        <v>7</v>
      </c>
      <c r="H4161" s="6"/>
    </row>
    <row r="4162" spans="1:8" hidden="1">
      <c r="A4162" s="5" t="s">
        <v>6</v>
      </c>
      <c r="H4162" s="6"/>
    </row>
    <row r="4163" spans="1:8" hidden="1">
      <c r="A4163" s="5" t="s">
        <v>380</v>
      </c>
      <c r="H4163" s="6"/>
    </row>
    <row r="4164" spans="1:8" hidden="1">
      <c r="A4164" s="5" t="s">
        <v>381</v>
      </c>
      <c r="H4164" s="6"/>
    </row>
    <row r="4165" spans="1:8" hidden="1">
      <c r="A4165" s="6"/>
      <c r="H4165" s="6"/>
    </row>
    <row r="4166" spans="1:8" hidden="1">
      <c r="A4166" s="6"/>
      <c r="H4166" s="6"/>
    </row>
    <row r="4167" spans="1:8" hidden="1">
      <c r="A4167" s="5" t="s">
        <v>317</v>
      </c>
      <c r="H4167" s="6"/>
    </row>
    <row r="4168" spans="1:8" hidden="1">
      <c r="A4168" s="5" t="s">
        <v>382</v>
      </c>
      <c r="H4168" s="6"/>
    </row>
    <row r="4169" spans="1:8" hidden="1">
      <c r="A4169" s="5" t="s">
        <v>319</v>
      </c>
      <c r="H4169" s="6"/>
    </row>
    <row r="4170" spans="1:8" hidden="1">
      <c r="A4170" s="5" t="s">
        <v>383</v>
      </c>
      <c r="H4170" s="6"/>
    </row>
    <row r="4171" spans="1:8" hidden="1">
      <c r="A4171" s="5" t="s">
        <v>384</v>
      </c>
      <c r="H4171" s="6"/>
    </row>
    <row r="4172" spans="1:8" hidden="1">
      <c r="A4172" s="5" t="s">
        <v>385</v>
      </c>
      <c r="H4172" s="6"/>
    </row>
    <row r="4173" spans="1:8" hidden="1">
      <c r="A4173" s="5" t="s">
        <v>321</v>
      </c>
      <c r="H4173" s="6"/>
    </row>
    <row r="4174" spans="1:8" hidden="1">
      <c r="A4174" s="6"/>
      <c r="H4174" s="6"/>
    </row>
    <row r="4175" spans="1:8" hidden="1">
      <c r="A4175" s="5" t="s">
        <v>322</v>
      </c>
      <c r="H4175" s="6"/>
    </row>
    <row r="4176" spans="1:8" hidden="1">
      <c r="A4176" s="5" t="s">
        <v>323</v>
      </c>
      <c r="H4176" s="6"/>
    </row>
    <row r="4177" spans="1:8" hidden="1">
      <c r="A4177" s="5" t="s">
        <v>324</v>
      </c>
      <c r="H4177" s="6"/>
    </row>
    <row r="4178" spans="1:8" hidden="1">
      <c r="A4178" s="5" t="s">
        <v>386</v>
      </c>
      <c r="H4178" s="6"/>
    </row>
    <row r="4179" spans="1:8" hidden="1">
      <c r="A4179" s="5" t="s">
        <v>326</v>
      </c>
      <c r="H4179" s="6"/>
    </row>
    <row r="4180" spans="1:8" hidden="1">
      <c r="A4180" s="5" t="s">
        <v>327</v>
      </c>
      <c r="H4180" s="6"/>
    </row>
    <row r="4181" spans="1:8" hidden="1">
      <c r="A4181" s="5" t="s">
        <v>328</v>
      </c>
      <c r="H4181" s="6"/>
    </row>
    <row r="4182" spans="1:8" hidden="1">
      <c r="A4182" s="5" t="s">
        <v>387</v>
      </c>
      <c r="H4182" s="6"/>
    </row>
    <row r="4183" spans="1:8" hidden="1">
      <c r="A4183" s="5" t="s">
        <v>3</v>
      </c>
      <c r="H4183" s="6"/>
    </row>
    <row r="4184" spans="1:8" hidden="1">
      <c r="A4184" s="5" t="s">
        <v>4</v>
      </c>
      <c r="H4184" s="6"/>
    </row>
    <row r="4185" spans="1:8" hidden="1">
      <c r="A4185" s="5" t="s">
        <v>5</v>
      </c>
      <c r="H4185" s="6"/>
    </row>
    <row r="4186" spans="1:8" hidden="1">
      <c r="A4186" s="5" t="s">
        <v>6</v>
      </c>
      <c r="H4186" s="6"/>
    </row>
    <row r="4187" spans="1:8" hidden="1">
      <c r="A4187" s="5" t="s">
        <v>7</v>
      </c>
      <c r="H4187" s="6"/>
    </row>
    <row r="4188" spans="1:8" hidden="1">
      <c r="A4188" s="5" t="s">
        <v>6</v>
      </c>
      <c r="H4188" s="6"/>
    </row>
    <row r="4189" spans="1:8" hidden="1">
      <c r="A4189" s="5" t="s">
        <v>388</v>
      </c>
      <c r="H4189" s="6"/>
    </row>
    <row r="4190" spans="1:8" hidden="1">
      <c r="A4190" s="5" t="s">
        <v>389</v>
      </c>
      <c r="H4190" s="6"/>
    </row>
    <row r="4191" spans="1:8" hidden="1">
      <c r="A4191" s="6"/>
      <c r="H4191" s="6"/>
    </row>
    <row r="4192" spans="1:8" hidden="1">
      <c r="A4192" s="5" t="s">
        <v>390</v>
      </c>
      <c r="H4192" s="6"/>
    </row>
    <row r="4193" spans="1:8" hidden="1">
      <c r="A4193" s="5" t="s">
        <v>15</v>
      </c>
      <c r="H4193" s="6"/>
    </row>
    <row r="4194" spans="1:8" hidden="1">
      <c r="A4194" s="5" t="s">
        <v>6</v>
      </c>
      <c r="H4194" s="6"/>
    </row>
    <row r="4195" spans="1:8" hidden="1">
      <c r="A4195" s="5" t="s">
        <v>110</v>
      </c>
      <c r="H4195" s="6"/>
    </row>
    <row r="4196" spans="1:8" hidden="1">
      <c r="A4196" s="5" t="s">
        <v>17</v>
      </c>
      <c r="H4196" s="6"/>
    </row>
    <row r="4197" spans="1:8" hidden="1">
      <c r="A4197" s="5" t="s">
        <v>111</v>
      </c>
      <c r="H4197" s="6"/>
    </row>
    <row r="4198" spans="1:8" hidden="1">
      <c r="A4198" s="5" t="s">
        <v>391</v>
      </c>
      <c r="H4198" s="6"/>
    </row>
    <row r="4199" spans="1:8" hidden="1">
      <c r="A4199" s="6"/>
      <c r="H4199" s="6"/>
    </row>
    <row r="4200" spans="1:8" hidden="1">
      <c r="A4200" s="5" t="s">
        <v>19</v>
      </c>
      <c r="H4200" s="6"/>
    </row>
    <row r="4201" spans="1:8" hidden="1">
      <c r="A4201" s="5" t="s">
        <v>20</v>
      </c>
      <c r="H4201" s="6"/>
    </row>
    <row r="4202" spans="1:8" hidden="1">
      <c r="A4202" s="5" t="s">
        <v>21</v>
      </c>
      <c r="H4202" s="6"/>
    </row>
    <row r="4203" spans="1:8" hidden="1">
      <c r="A4203" s="5" t="s">
        <v>22</v>
      </c>
      <c r="H4203" s="6"/>
    </row>
    <row r="4204" spans="1:8" hidden="1">
      <c r="A4204" s="5" t="s">
        <v>23</v>
      </c>
      <c r="H4204" s="6"/>
    </row>
    <row r="4205" spans="1:8" hidden="1">
      <c r="A4205" s="5" t="s">
        <v>24</v>
      </c>
      <c r="H4205" s="6"/>
    </row>
    <row r="4206" spans="1:8" hidden="1">
      <c r="A4206" s="5" t="s">
        <v>25</v>
      </c>
      <c r="H4206" s="6"/>
    </row>
    <row r="4207" spans="1:8" hidden="1">
      <c r="A4207" s="5" t="s">
        <v>26</v>
      </c>
      <c r="H4207" s="6"/>
    </row>
    <row r="4208" spans="1:8" hidden="1">
      <c r="A4208" s="5" t="s">
        <v>27</v>
      </c>
      <c r="H4208" s="6"/>
    </row>
    <row r="4209" spans="1:8" hidden="1">
      <c r="A4209" s="5" t="s">
        <v>6</v>
      </c>
      <c r="H4209" s="6"/>
    </row>
    <row r="4210" spans="1:8" hidden="1">
      <c r="A4210" s="5" t="s">
        <v>28</v>
      </c>
      <c r="H4210" s="6"/>
    </row>
    <row r="4211" spans="1:8" hidden="1">
      <c r="A4211" s="5" t="s">
        <v>29</v>
      </c>
      <c r="H4211" s="6"/>
    </row>
    <row r="4212" spans="1:8" hidden="1">
      <c r="A4212" s="6"/>
      <c r="H4212" s="6"/>
    </row>
    <row r="4213" spans="1:8" hidden="1">
      <c r="A4213" s="6"/>
      <c r="H4213" s="6"/>
    </row>
    <row r="4214" spans="1:8" hidden="1">
      <c r="A4214" s="5" t="s">
        <v>6</v>
      </c>
      <c r="H4214" s="6"/>
    </row>
    <row r="4215" spans="1:8" hidden="1">
      <c r="A4215" s="5" t="s">
        <v>30</v>
      </c>
      <c r="H4215" s="6"/>
    </row>
    <row r="4216" spans="1:8" hidden="1">
      <c r="A4216" s="6"/>
      <c r="H4216" s="6"/>
    </row>
    <row r="4217" spans="1:8" hidden="1">
      <c r="A4217" s="5" t="s">
        <v>31</v>
      </c>
      <c r="H4217" s="6"/>
    </row>
    <row r="4218" spans="1:8" hidden="1">
      <c r="A4218" s="5" t="s">
        <v>32</v>
      </c>
      <c r="H4218" s="6"/>
    </row>
    <row r="4219" spans="1:8" hidden="1">
      <c r="A4219" s="5" t="s">
        <v>33</v>
      </c>
      <c r="H4219" s="6"/>
    </row>
    <row r="4220" spans="1:8" hidden="1">
      <c r="A4220" s="5" t="s">
        <v>34</v>
      </c>
      <c r="H4220" s="6"/>
    </row>
    <row r="4221" spans="1:8" hidden="1">
      <c r="A4221" s="5" t="s">
        <v>35</v>
      </c>
      <c r="H4221" s="6"/>
    </row>
    <row r="4222" spans="1:8" hidden="1">
      <c r="A4222" s="5" t="s">
        <v>36</v>
      </c>
      <c r="H4222" s="6"/>
    </row>
    <row r="4223" spans="1:8" hidden="1">
      <c r="A4223" s="5" t="s">
        <v>37</v>
      </c>
      <c r="H4223" s="6"/>
    </row>
    <row r="4224" spans="1:8" hidden="1">
      <c r="A4224" s="5" t="s">
        <v>38</v>
      </c>
      <c r="H4224" s="6"/>
    </row>
    <row r="4225" spans="1:8" hidden="1">
      <c r="A4225" s="5" t="s">
        <v>39</v>
      </c>
      <c r="H4225" s="6"/>
    </row>
    <row r="4226" spans="1:8" hidden="1">
      <c r="A4226" s="6"/>
      <c r="H4226" s="6"/>
    </row>
    <row r="4227" spans="1:8" hidden="1">
      <c r="A4227" s="5" t="s">
        <v>388</v>
      </c>
      <c r="H4227" s="6"/>
    </row>
    <row r="4228" spans="1:8" hidden="1">
      <c r="A4228" s="5" t="s">
        <v>389</v>
      </c>
      <c r="H4228" s="6"/>
    </row>
    <row r="4229" spans="1:8" hidden="1">
      <c r="A4229" s="6"/>
      <c r="H4229" s="6"/>
    </row>
    <row r="4230" spans="1:8" hidden="1">
      <c r="A4230" s="6"/>
      <c r="H4230" s="6"/>
    </row>
    <row r="4231" spans="1:8" hidden="1">
      <c r="A4231" s="5" t="s">
        <v>3</v>
      </c>
      <c r="H4231" s="6"/>
    </row>
    <row r="4232" spans="1:8" hidden="1">
      <c r="A4232" s="5" t="s">
        <v>4</v>
      </c>
      <c r="H4232" s="6"/>
    </row>
    <row r="4233" spans="1:8" hidden="1">
      <c r="A4233" s="5" t="s">
        <v>5</v>
      </c>
      <c r="H4233" s="6"/>
    </row>
    <row r="4234" spans="1:8" hidden="1">
      <c r="A4234" s="5" t="s">
        <v>6</v>
      </c>
      <c r="H4234" s="6"/>
    </row>
    <row r="4235" spans="1:8" hidden="1">
      <c r="A4235" s="5" t="s">
        <v>7</v>
      </c>
      <c r="H4235" s="6"/>
    </row>
    <row r="4236" spans="1:8" hidden="1">
      <c r="A4236" s="5" t="s">
        <v>6</v>
      </c>
      <c r="H4236" s="6"/>
    </row>
    <row r="4237" spans="1:8" hidden="1">
      <c r="A4237" s="5" t="s">
        <v>392</v>
      </c>
      <c r="H4237" s="6"/>
    </row>
    <row r="4238" spans="1:8" hidden="1">
      <c r="A4238" s="5" t="s">
        <v>393</v>
      </c>
      <c r="H4238" s="6"/>
    </row>
    <row r="4239" spans="1:8" hidden="1">
      <c r="A4239" s="6"/>
      <c r="H4239" s="6"/>
    </row>
    <row r="4240" spans="1:8" hidden="1">
      <c r="A4240" s="5" t="s">
        <v>82</v>
      </c>
      <c r="H4240" s="6"/>
    </row>
    <row r="4241" spans="1:8" hidden="1">
      <c r="A4241" s="5" t="s">
        <v>216</v>
      </c>
      <c r="H4241" s="6"/>
    </row>
    <row r="4242" spans="1:8" hidden="1">
      <c r="A4242" s="5" t="s">
        <v>217</v>
      </c>
      <c r="H4242" s="6"/>
    </row>
    <row r="4243" spans="1:8" hidden="1">
      <c r="A4243" s="5" t="s">
        <v>394</v>
      </c>
      <c r="H4243" s="6"/>
    </row>
    <row r="4244" spans="1:8" hidden="1">
      <c r="A4244" s="5" t="s">
        <v>395</v>
      </c>
      <c r="H4244" s="6"/>
    </row>
    <row r="4245" spans="1:8" hidden="1">
      <c r="A4245" s="5" t="s">
        <v>103</v>
      </c>
      <c r="H4245" s="6"/>
    </row>
    <row r="4246" spans="1:8" hidden="1">
      <c r="A4246" s="5" t="s">
        <v>396</v>
      </c>
      <c r="H4246" s="6"/>
    </row>
    <row r="4247" spans="1:8" hidden="1">
      <c r="A4247" s="5" t="s">
        <v>6</v>
      </c>
      <c r="H4247" s="6"/>
    </row>
    <row r="4248" spans="1:8" hidden="1">
      <c r="A4248" s="5" t="s">
        <v>397</v>
      </c>
      <c r="H4248" s="6"/>
    </row>
    <row r="4249" spans="1:8" hidden="1">
      <c r="A4249" s="5" t="s">
        <v>398</v>
      </c>
      <c r="H4249" s="6"/>
    </row>
    <row r="4250" spans="1:8" hidden="1">
      <c r="A4250" s="5" t="s">
        <v>399</v>
      </c>
      <c r="H4250" s="6"/>
    </row>
    <row r="4251" spans="1:8" hidden="1">
      <c r="A4251" s="6"/>
      <c r="H4251" s="6"/>
    </row>
    <row r="4252" spans="1:8" hidden="1">
      <c r="A4252" s="5" t="s">
        <v>18</v>
      </c>
      <c r="H4252" s="6"/>
    </row>
    <row r="4253" spans="1:8" hidden="1">
      <c r="A4253" s="7">
        <v>19800</v>
      </c>
      <c r="H4253" s="6"/>
    </row>
    <row r="4254" spans="1:8" hidden="1">
      <c r="A4254" s="6"/>
      <c r="H4254" s="6"/>
    </row>
    <row r="4255" spans="1:8" hidden="1">
      <c r="A4255" s="5" t="s">
        <v>19</v>
      </c>
      <c r="H4255" s="6"/>
    </row>
    <row r="4256" spans="1:8" hidden="1">
      <c r="A4256" s="5" t="s">
        <v>20</v>
      </c>
      <c r="H4256" s="6"/>
    </row>
    <row r="4257" spans="1:8" hidden="1">
      <c r="A4257" s="5" t="s">
        <v>21</v>
      </c>
      <c r="H4257" s="6"/>
    </row>
    <row r="4258" spans="1:8" hidden="1">
      <c r="A4258" s="5" t="s">
        <v>22</v>
      </c>
      <c r="H4258" s="6"/>
    </row>
    <row r="4259" spans="1:8" hidden="1">
      <c r="A4259" s="5" t="s">
        <v>23</v>
      </c>
      <c r="H4259" s="6"/>
    </row>
    <row r="4260" spans="1:8" hidden="1">
      <c r="A4260" s="5" t="s">
        <v>24</v>
      </c>
      <c r="H4260" s="6"/>
    </row>
    <row r="4261" spans="1:8" hidden="1">
      <c r="A4261" s="5" t="s">
        <v>25</v>
      </c>
      <c r="H4261" s="6"/>
    </row>
    <row r="4262" spans="1:8" hidden="1">
      <c r="A4262" s="5" t="s">
        <v>26</v>
      </c>
      <c r="H4262" s="6"/>
    </row>
    <row r="4263" spans="1:8" hidden="1">
      <c r="A4263" s="5" t="s">
        <v>27</v>
      </c>
      <c r="H4263" s="6"/>
    </row>
    <row r="4264" spans="1:8" hidden="1">
      <c r="A4264" s="5" t="s">
        <v>6</v>
      </c>
      <c r="H4264" s="6"/>
    </row>
    <row r="4265" spans="1:8" hidden="1">
      <c r="A4265" s="5" t="s">
        <v>28</v>
      </c>
      <c r="H4265" s="6"/>
    </row>
    <row r="4266" spans="1:8" hidden="1">
      <c r="A4266" s="5" t="s">
        <v>29</v>
      </c>
      <c r="H4266" s="6"/>
    </row>
    <row r="4267" spans="1:8" hidden="1">
      <c r="A4267" s="6"/>
      <c r="H4267" s="6"/>
    </row>
    <row r="4268" spans="1:8" hidden="1">
      <c r="A4268" s="6"/>
      <c r="H4268" s="6"/>
    </row>
    <row r="4269" spans="1:8" hidden="1">
      <c r="A4269" s="5" t="s">
        <v>6</v>
      </c>
      <c r="H4269" s="6"/>
    </row>
    <row r="4270" spans="1:8" hidden="1">
      <c r="A4270" s="5" t="s">
        <v>30</v>
      </c>
      <c r="H4270" s="6"/>
    </row>
    <row r="4271" spans="1:8" hidden="1">
      <c r="A4271" s="6"/>
      <c r="H4271" s="6"/>
    </row>
    <row r="4272" spans="1:8" hidden="1">
      <c r="A4272" s="5" t="s">
        <v>31</v>
      </c>
      <c r="H4272" s="6"/>
    </row>
    <row r="4273" spans="1:8" hidden="1">
      <c r="A4273" s="5" t="s">
        <v>32</v>
      </c>
      <c r="H4273" s="6"/>
    </row>
    <row r="4274" spans="1:8" hidden="1">
      <c r="A4274" s="5" t="s">
        <v>33</v>
      </c>
      <c r="H4274" s="6"/>
    </row>
    <row r="4275" spans="1:8" hidden="1">
      <c r="A4275" s="5" t="s">
        <v>34</v>
      </c>
      <c r="H4275" s="6"/>
    </row>
    <row r="4276" spans="1:8" hidden="1">
      <c r="A4276" s="5" t="s">
        <v>35</v>
      </c>
      <c r="H4276" s="6"/>
    </row>
    <row r="4277" spans="1:8" hidden="1">
      <c r="A4277" s="5" t="s">
        <v>36</v>
      </c>
      <c r="H4277" s="6"/>
    </row>
    <row r="4278" spans="1:8" hidden="1">
      <c r="A4278" s="5" t="s">
        <v>37</v>
      </c>
      <c r="H4278" s="6"/>
    </row>
    <row r="4279" spans="1:8" hidden="1">
      <c r="A4279" s="5" t="s">
        <v>38</v>
      </c>
      <c r="H4279" s="6"/>
    </row>
    <row r="4280" spans="1:8" hidden="1">
      <c r="A4280" s="5" t="s">
        <v>39</v>
      </c>
      <c r="H4280" s="6"/>
    </row>
    <row r="4281" spans="1:8" hidden="1">
      <c r="A4281" s="6"/>
      <c r="H4281" s="6"/>
    </row>
    <row r="4282" spans="1:8" hidden="1">
      <c r="A4282" s="5" t="s">
        <v>392</v>
      </c>
      <c r="H4282" s="6"/>
    </row>
    <row r="4283" spans="1:8" hidden="1">
      <c r="A4283" s="5" t="s">
        <v>393</v>
      </c>
      <c r="H4283" s="6"/>
    </row>
    <row r="4284" spans="1:8" hidden="1">
      <c r="A4284" s="6"/>
      <c r="H4284" s="6"/>
    </row>
    <row r="4285" spans="1:8" hidden="1">
      <c r="A4285" s="6"/>
      <c r="H4285" s="6"/>
    </row>
    <row r="4286" spans="1:8" hidden="1">
      <c r="A4286" s="6"/>
      <c r="H4286" s="6"/>
    </row>
    <row r="4287" spans="1:8" hidden="1">
      <c r="A4287" s="6"/>
      <c r="H4287" s="6"/>
    </row>
    <row r="4288" spans="1:8" hidden="1">
      <c r="A4288" s="5" t="s">
        <v>6</v>
      </c>
      <c r="H4288" s="6"/>
    </row>
    <row r="4289" spans="1:8" hidden="1">
      <c r="A4289" s="5" t="s">
        <v>40</v>
      </c>
      <c r="H4289" s="6"/>
    </row>
    <row r="4290" spans="1:8" hidden="1">
      <c r="A4290" s="6"/>
      <c r="H4290" s="6"/>
    </row>
    <row r="4291" spans="1:8" hidden="1">
      <c r="A4291" s="5" t="s">
        <v>41</v>
      </c>
      <c r="H4291" s="6"/>
    </row>
    <row r="4292" spans="1:8" hidden="1">
      <c r="A4292" s="6"/>
      <c r="H4292" s="6"/>
    </row>
    <row r="4293" spans="1:8" hidden="1">
      <c r="A4293" s="5" t="s">
        <v>42</v>
      </c>
      <c r="H4293" s="6"/>
    </row>
    <row r="4294" spans="1:8" hidden="1">
      <c r="A4294" s="6"/>
      <c r="H4294" s="6"/>
    </row>
    <row r="4295" spans="1:8" hidden="1">
      <c r="A4295" s="5" t="s">
        <v>43</v>
      </c>
      <c r="H4295" s="6"/>
    </row>
    <row r="4296" spans="1:8" hidden="1">
      <c r="A4296" s="5" t="s">
        <v>44</v>
      </c>
      <c r="H4296" s="6"/>
    </row>
    <row r="4297" spans="1:8" hidden="1">
      <c r="A4297" s="5" t="s">
        <v>45</v>
      </c>
      <c r="H4297" s="6"/>
    </row>
    <row r="4298" spans="1:8" hidden="1">
      <c r="A4298" s="5" t="s">
        <v>46</v>
      </c>
      <c r="H4298" s="6"/>
    </row>
    <row r="4299" spans="1:8" hidden="1">
      <c r="A4299" s="5" t="s">
        <v>47</v>
      </c>
      <c r="H4299" s="6"/>
    </row>
    <row r="4300" spans="1:8" hidden="1">
      <c r="A4300" s="5" t="s">
        <v>37</v>
      </c>
      <c r="H4300" s="6"/>
    </row>
    <row r="4301" spans="1:8" hidden="1">
      <c r="A4301" s="6"/>
      <c r="H4301" s="6"/>
    </row>
    <row r="4302" spans="1:8" hidden="1">
      <c r="A4302" s="5" t="s">
        <v>392</v>
      </c>
      <c r="H4302" s="6"/>
    </row>
    <row r="4303" spans="1:8" hidden="1">
      <c r="A4303" s="5" t="s">
        <v>393</v>
      </c>
      <c r="H4303" s="6"/>
    </row>
    <row r="4304" spans="1:8" hidden="1">
      <c r="A4304" s="6"/>
      <c r="H4304" s="6"/>
    </row>
    <row r="4305" spans="1:8" hidden="1">
      <c r="A4305" s="6"/>
      <c r="H4305" s="6"/>
    </row>
    <row r="4306" spans="1:8" hidden="1">
      <c r="A4306" s="5" t="s">
        <v>3</v>
      </c>
      <c r="H4306" s="6"/>
    </row>
    <row r="4307" spans="1:8" hidden="1">
      <c r="A4307" s="5" t="s">
        <v>4</v>
      </c>
      <c r="H4307" s="6"/>
    </row>
    <row r="4308" spans="1:8" hidden="1">
      <c r="A4308" s="5" t="s">
        <v>5</v>
      </c>
      <c r="H4308" s="6"/>
    </row>
    <row r="4309" spans="1:8" hidden="1">
      <c r="A4309" s="5" t="s">
        <v>6</v>
      </c>
      <c r="H4309" s="6"/>
    </row>
    <row r="4310" spans="1:8" hidden="1">
      <c r="A4310" s="5" t="s">
        <v>7</v>
      </c>
      <c r="H4310" s="6"/>
    </row>
    <row r="4311" spans="1:8" hidden="1">
      <c r="A4311" s="5" t="s">
        <v>6</v>
      </c>
      <c r="H4311" s="6"/>
    </row>
    <row r="4312" spans="1:8" hidden="1">
      <c r="A4312" s="5" t="s">
        <v>400</v>
      </c>
      <c r="H4312" s="6"/>
    </row>
    <row r="4313" spans="1:8" hidden="1">
      <c r="A4313" s="5" t="s">
        <v>401</v>
      </c>
      <c r="H4313" s="6"/>
    </row>
    <row r="4314" spans="1:8" hidden="1">
      <c r="A4314" s="6"/>
      <c r="H4314" s="6"/>
    </row>
    <row r="4315" spans="1:8" hidden="1">
      <c r="A4315" s="5" t="s">
        <v>402</v>
      </c>
      <c r="H4315" s="6"/>
    </row>
  </sheetData>
  <autoFilter ref="A1:I4315" xr:uid="{6D4C8AEE-6ECD-475D-A283-CBDA969619F0}">
    <filterColumn colId="7">
      <filters>
        <filter val="disc item   (-)(  1)  -79,900"/>
        <filter val="disc item   (-)(  1) -100,000"/>
        <filter val="disc item   (-)(  2) -100,000"/>
        <filter val="disc item   (20%)(  1)  -79,900"/>
        <filter val="disc item   20%(  1)  -19,800"/>
        <filter val="disc item   20%(  1)  -23,980"/>
        <filter val="disc item   20%(  1)  -25,000"/>
        <filter val="disc item   20%(  1)  -30,000"/>
        <filter val="disc item   20%(  1)  -37,500"/>
        <filter val="disc item   20%(  1)  -45,000"/>
        <filter val="disc item   30%(  1)  -53,970"/>
        <filter val="disc item   30%(  1)  -59,970"/>
        <filter val="disc item   30%(  1)  -61,470"/>
        <filter val="disc item   50%(  1) -179,900"/>
        <filter val="disc item   50%(  1) -204,900"/>
        <filter val="disc item   70%(  1) -181,860"/>
        <filter val="disc item   70%(  1) -230,860"/>
        <filter val="disc subtl  (-)(  1)  -16,633"/>
        <filter val="disc subtl  (-)(  1)  -26,600"/>
        <filter val="disc subtl  (-)(  1)  -26,633"/>
        <filter val="disc subtl  (-)(  1)  -39,967"/>
        <filter val="disc subtl  (-)(  2)  -53,200"/>
        <filter val="disc subtl  (-)(  2) -100,000"/>
        <filter val="disc subtl  50%(  1) -199,900"/>
        <filter val="disc subtl  50%(  1) -204,9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Hakim</dc:creator>
  <cp:lastModifiedBy>Lukman Hakim</cp:lastModifiedBy>
  <dcterms:created xsi:type="dcterms:W3CDTF">2026-04-23T20:53:44Z</dcterms:created>
  <dcterms:modified xsi:type="dcterms:W3CDTF">2026-05-04T11:07:27Z</dcterms:modified>
</cp:coreProperties>
</file>